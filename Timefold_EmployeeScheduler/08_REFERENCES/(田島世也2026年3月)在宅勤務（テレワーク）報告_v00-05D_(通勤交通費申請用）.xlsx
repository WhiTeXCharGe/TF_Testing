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00-05D" sheetId="1" state="visible" r:id="rId1"/>
    <sheet name="v00-05D (サンプル)" sheetId="2" state="visible" r:id="rId2"/>
  </sheets>
  <definedNames>
    <definedName name="_xlnm.Print_Area" localSheetId="0">'v00-05D'!$A$1:$Z$40</definedName>
    <definedName name="_xlnm.Print_Area" localSheetId="1">'v00-05D (サンプル)'!$A$1:$Z$40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<sst xmlns="http://schemas.openxmlformats.org/spreadsheetml/2006/main" count="47" uniqueCount="47">
  <si>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在宅勤務（テレワーク）報告</t>
  </si>
  <si>
    <t xml:space="preserve">本日を起点に
前後２年</t>
  </si>
  <si>
    <t xml:space="preserve">年のみ抽出
→リスト反映</t>
  </si>
  <si>
    <t>年</t>
  </si>
  <si>
    <t>月度</t>
  </si>
  <si>
    <t>締日</t>
  </si>
  <si>
    <t>末</t>
  </si>
  <si>
    <t>所属長印</t>
  </si>
  <si>
    <t>報告者印</t>
  </si>
  <si>
    <t>～</t>
  </si>
  <si>
    <t>企業名</t>
  </si>
  <si>
    <t xml:space="preserve">株式会社SCREEN ICT ソフトウエア</t>
  </si>
  <si>
    <t>社員番号</t>
  </si>
  <si>
    <t>氏名</t>
  </si>
  <si>
    <t>田島世也</t>
  </si>
  <si>
    <t>月日</t>
  </si>
  <si>
    <t>曜</t>
  </si>
  <si>
    <t>勤務体系</t>
  </si>
  <si>
    <t>通勤交通費</t>
  </si>
  <si>
    <t>インセンティブ</t>
  </si>
  <si>
    <t>備考</t>
  </si>
  <si>
    <t>日額</t>
  </si>
  <si>
    <t>休日</t>
  </si>
  <si>
    <t>テレワーク</t>
  </si>
  <si>
    <t>出張）通×</t>
  </si>
  <si>
    <t>AS出社</t>
  </si>
  <si>
    <t>出勤</t>
  </si>
  <si>
    <t>うるう年</t>
  </si>
  <si>
    <t>合計</t>
  </si>
  <si>
    <t>※インセンティブは請求時に別途消費税を申し受けます</t>
  </si>
  <si>
    <t>〇〇株式会社</t>
  </si>
  <si>
    <t>XXXXXXXXXXX</t>
  </si>
  <si>
    <t>〇〇　〇〇</t>
  </si>
  <si>
    <t>〇〇休暇</t>
  </si>
  <si>
    <t>出勤+半休</t>
  </si>
  <si>
    <t>PM半休</t>
  </si>
  <si>
    <t>テレワーク※所定未満</t>
  </si>
  <si>
    <t>早退</t>
  </si>
  <si>
    <t>テレワーク+出勤</t>
  </si>
  <si>
    <t>AM出勤、PMテレ</t>
  </si>
  <si>
    <t>テレワーク+半休</t>
  </si>
  <si>
    <t>出張）通×+半休</t>
  </si>
  <si>
    <t>AM半休、PM出張移動のみ</t>
  </si>
  <si>
    <t>宿泊出張</t>
  </si>
  <si>
    <t>出張）通×+テレ</t>
  </si>
  <si>
    <t>AM出張帰着、PMテレ</t>
  </si>
  <si>
    <t xml:space="preserve">※インセンティブは請求時に
別途消費税を申し受けます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</si>
</sst>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&quot;＜　自:&quot;yyyy&quot;年&quot;m&quot;月&quot;d&quot;日&quot;"/>
    <numFmt numFmtId="165" formatCode="&quot;至:&quot;yyyy&quot;年&quot;m&quot;月&quot;d&quot;日　＞&quot;"/>
    <numFmt numFmtId="166" formatCode="#,##0_ &quot;円&quot;"/>
    <numFmt numFmtId="167" formatCode="\a"/>
    <numFmt numFmtId="168" formatCode="#,##0_ "/>
    <numFmt numFmtId="169" formatCode="#,##0&quot;円&quot;"/>
    <numFmt numFmtId="170" formatCode="0&quot;日&quot;"/>
    <numFmt numFmtId="171" formatCode="0.0&quot;日&quot;"/>
  </numFmts>
  <fonts count="9">
    <font>
      <sz val="11.000000"/>
      <color theme="1"/>
      <name val="Calibri"/>
      <scheme val="minor"/>
    </font>
    <font>
      <sz val="20.000000"/>
      <color theme="1"/>
      <name val="Calibri"/>
      <scheme val="minor"/>
    </font>
    <font>
      <sz val="8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name val="Calibri"/>
      <scheme val="minor"/>
    </font>
    <font>
      <sz val="11.000000"/>
      <name val="Calibri"/>
      <scheme val="minor"/>
    </font>
    <font>
      <u/>
      <sz val="10.000000"/>
      <color rgb="FF500050"/>
      <name val="Meiryo UI"/>
    </font>
    <font>
      <b/>
      <sz val="10.000000"/>
      <name val="Calibri"/>
      <scheme val="minor"/>
    </font>
    <font>
      <sz val="8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theme="0"/>
      </patternFill>
    </fill>
    <fill>
      <patternFill patternType="solid">
        <fgColor theme="5" tint="0.79998168889431442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101"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vertical="center" wrapText="1"/>
    </xf>
    <xf fontId="3" fillId="2" borderId="0" numFmtId="0" xfId="0" applyFont="1" applyFill="1" applyAlignment="1" applyProtection="1">
      <alignment horizontal="center" vertical="center"/>
      <protection locked="0"/>
    </xf>
    <xf fontId="4" fillId="0" borderId="0" numFmtId="0" xfId="0" applyFont="1" applyAlignment="1">
      <alignment vertical="center"/>
    </xf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3" fillId="2" borderId="2" numFmtId="0" xfId="0" applyFont="1" applyFill="1" applyBorder="1" applyAlignment="1" applyProtection="1">
      <alignment horizontal="center" vertical="center"/>
      <protection locked="0"/>
    </xf>
    <xf fontId="3" fillId="2" borderId="3" numFmtId="0" xfId="0" applyFont="1" applyFill="1" applyBorder="1" applyAlignment="1" applyProtection="1">
      <alignment horizontal="center" vertical="center"/>
      <protection locked="0"/>
    </xf>
    <xf fontId="0" fillId="0" borderId="4" numFmtId="0" xfId="0" applyBorder="1" applyAlignment="1">
      <alignment horizontal="center" vertical="center"/>
    </xf>
    <xf fontId="0" fillId="0" borderId="0" numFmtId="14" xfId="0" applyNumberFormat="1" applyAlignment="1">
      <alignment vertical="center"/>
    </xf>
    <xf fontId="0" fillId="0" borderId="0" numFmtId="0" xfId="0" applyAlignment="1">
      <alignment horizontal="center" vertical="center"/>
    </xf>
    <xf fontId="5" fillId="0" borderId="0" numFmtId="164" xfId="0" applyNumberFormat="1" applyFont="1" applyAlignment="1">
      <alignment horizontal="center" shrinkToFit="1" vertical="center"/>
    </xf>
    <xf fontId="5" fillId="0" borderId="0" numFmtId="0" xfId="0" applyFont="1" applyAlignment="1">
      <alignment horizontal="center" vertical="center"/>
    </xf>
    <xf fontId="5" fillId="0" borderId="0" numFmtId="165" xfId="0" applyNumberFormat="1" applyFont="1" applyAlignment="1">
      <alignment horizontal="center" shrinkToFit="1" vertical="center"/>
    </xf>
    <xf fontId="5" fillId="0" borderId="0" numFmtId="165" xfId="0" applyNumberFormat="1" applyFont="1" applyAlignment="1">
      <alignment horizontal="center" vertical="center"/>
    </xf>
    <xf fontId="0" fillId="3" borderId="5" numFmtId="0" xfId="0" applyFill="1" applyBorder="1" applyAlignment="1" applyProtection="1">
      <alignment horizontal="center" vertical="center"/>
      <protection locked="0"/>
    </xf>
    <xf fontId="0" fillId="3" borderId="6" numFmtId="0" xfId="0" applyFill="1" applyBorder="1" applyAlignment="1" applyProtection="1">
      <alignment horizontal="center" vertical="center"/>
      <protection locked="0"/>
    </xf>
    <xf fontId="0" fillId="3" borderId="7" numFmtId="0" xfId="0" applyFill="1" applyBorder="1" applyAlignment="1" applyProtection="1">
      <alignment horizontal="center" vertical="center"/>
      <protection locked="0"/>
    </xf>
    <xf fontId="0" fillId="0" borderId="8" numFmtId="0" xfId="0" applyBorder="1" applyAlignment="1">
      <alignment vertical="center"/>
    </xf>
    <xf fontId="4" fillId="4" borderId="8" numFmtId="0" xfId="0" applyFont="1" applyFill="1" applyBorder="1" applyAlignment="1" applyProtection="1">
      <alignment horizontal="left" shrinkToFit="1" vertical="center"/>
      <protection locked="0"/>
    </xf>
    <xf fontId="5" fillId="0" borderId="0" numFmtId="165" xfId="0" applyNumberFormat="1" applyFont="1" applyAlignment="1">
      <alignment vertical="center"/>
    </xf>
    <xf fontId="0" fillId="3" borderId="9" numFmtId="0" xfId="0" applyFill="1" applyBorder="1" applyAlignment="1" applyProtection="1">
      <alignment horizontal="center" vertical="center"/>
      <protection locked="0"/>
    </xf>
    <xf fontId="0" fillId="3" borderId="0" numFmtId="0" xfId="0" applyFill="1" applyAlignment="1" applyProtection="1">
      <alignment horizontal="center" vertical="center"/>
      <protection locked="0"/>
    </xf>
    <xf fontId="0" fillId="3" borderId="10" numFmtId="0" xfId="0" applyFill="1" applyBorder="1" applyAlignment="1" applyProtection="1">
      <alignment horizontal="center" vertical="center"/>
      <protection locked="0"/>
    </xf>
    <xf fontId="6" fillId="0" borderId="0" numFmtId="0" xfId="0" applyFont="1" applyAlignment="1">
      <alignment vertical="center"/>
    </xf>
    <xf fontId="0" fillId="0" borderId="2" numFmtId="0" xfId="0" applyBorder="1" applyAlignment="1">
      <alignment vertical="center"/>
    </xf>
    <xf fontId="4" fillId="4" borderId="2" numFmtId="0" xfId="0" applyFont="1" applyFill="1" applyBorder="1" applyAlignment="1" applyProtection="1">
      <alignment horizontal="left" shrinkToFit="1" vertical="center"/>
      <protection locked="0"/>
    </xf>
    <xf fontId="5" fillId="0" borderId="2" numFmtId="164" xfId="0" applyNumberFormat="1" applyFont="1" applyBorder="1" applyAlignment="1">
      <alignment vertical="center"/>
    </xf>
    <xf fontId="5" fillId="4" borderId="2" numFmtId="164" xfId="0" applyNumberFormat="1" applyFont="1" applyFill="1" applyBorder="1" applyAlignment="1" applyProtection="1">
      <alignment shrinkToFit="1" vertical="center"/>
      <protection locked="0"/>
    </xf>
    <xf fontId="0" fillId="3" borderId="11" numFmtId="0" xfId="0" applyFill="1" applyBorder="1" applyAlignment="1" applyProtection="1">
      <alignment horizontal="center" vertical="center"/>
      <protection locked="0"/>
    </xf>
    <xf fontId="0" fillId="3" borderId="8" numFmtId="0" xfId="0" applyFill="1" applyBorder="1" applyAlignment="1" applyProtection="1">
      <alignment horizontal="center" vertical="center"/>
      <protection locked="0"/>
    </xf>
    <xf fontId="0" fillId="3" borderId="12" numFmtId="0" xfId="0" applyFill="1" applyBorder="1" applyAlignment="1" applyProtection="1">
      <alignment horizontal="center" vertical="center"/>
      <protection locked="0"/>
    </xf>
    <xf fontId="4" fillId="0" borderId="5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/>
    </xf>
    <xf fontId="4" fillId="0" borderId="7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7" fillId="2" borderId="11" numFmtId="0" xfId="0" applyFont="1" applyFill="1" applyBorder="1" applyAlignment="1" applyProtection="1">
      <alignment horizontal="center" vertical="center"/>
      <protection locked="0"/>
    </xf>
    <xf fontId="7" fillId="2" borderId="8" numFmtId="0" xfId="0" applyFont="1" applyFill="1" applyBorder="1" applyAlignment="1" applyProtection="1">
      <alignment horizontal="center" vertical="center"/>
      <protection locked="0"/>
    </xf>
    <xf fontId="0" fillId="4" borderId="8" numFmtId="166" xfId="0" applyNumberFormat="1" applyFill="1" applyBorder="1" applyAlignment="1" applyProtection="1">
      <alignment horizontal="center" vertical="center"/>
      <protection locked="0"/>
    </xf>
    <xf fontId="0" fillId="4" borderId="12" numFmtId="166" xfId="0" applyNumberFormat="1" applyFill="1" applyBorder="1" applyAlignment="1" applyProtection="1">
      <alignment horizontal="center" vertical="center"/>
      <protection locked="0"/>
    </xf>
    <xf fontId="5" fillId="0" borderId="4" numFmtId="56" xfId="0" applyNumberFormat="1" applyFont="1" applyBorder="1" applyAlignment="1">
      <alignment horizontal="center" shrinkToFit="1" vertical="center"/>
    </xf>
    <xf fontId="5" fillId="0" borderId="4" numFmtId="167" xfId="0" applyNumberFormat="1" applyFont="1" applyBorder="1" applyAlignment="1">
      <alignment horizontal="center" shrinkToFit="1" vertical="center"/>
    </xf>
    <xf fontId="5" fillId="4" borderId="1" numFmtId="0" xfId="0" applyFont="1" applyFill="1" applyBorder="1" applyAlignment="1" applyProtection="1">
      <alignment horizontal="center" shrinkToFit="1" vertical="center"/>
      <protection locked="0"/>
    </xf>
    <xf fontId="5" fillId="4" borderId="2" numFmtId="0" xfId="0" applyFont="1" applyFill="1" applyBorder="1" applyAlignment="1" applyProtection="1">
      <alignment horizontal="center" shrinkToFit="1" vertical="center"/>
      <protection locked="0"/>
    </xf>
    <xf fontId="5" fillId="4" borderId="3" numFmtId="0" xfId="0" applyFont="1" applyFill="1" applyBorder="1" applyAlignment="1" applyProtection="1">
      <alignment horizontal="center" shrinkToFit="1" vertical="center"/>
      <protection locked="0"/>
    </xf>
    <xf fontId="5" fillId="0" borderId="1" numFmtId="168" xfId="0" applyNumberFormat="1" applyFont="1" applyBorder="1" applyAlignment="1">
      <alignment horizontal="center" shrinkToFit="1" vertical="center"/>
    </xf>
    <xf fontId="5" fillId="0" borderId="2" numFmtId="168" xfId="0" applyNumberFormat="1" applyFont="1" applyBorder="1" applyAlignment="1">
      <alignment horizontal="center" shrinkToFit="1" vertical="center"/>
    </xf>
    <xf fontId="5" fillId="0" borderId="3" numFmtId="168" xfId="0" applyNumberFormat="1" applyFont="1" applyBorder="1" applyAlignment="1">
      <alignment horizontal="center" shrinkToFit="1" vertical="center"/>
    </xf>
    <xf fontId="5" fillId="0" borderId="1" numFmtId="0" xfId="0" applyFont="1" applyBorder="1" applyAlignment="1" applyProtection="1">
      <alignment horizontal="center" shrinkToFit="1" vertical="center"/>
      <protection locked="0"/>
    </xf>
    <xf fontId="5" fillId="0" borderId="2" numFmtId="0" xfId="0" applyFont="1" applyBorder="1" applyAlignment="1" applyProtection="1">
      <alignment horizontal="center" shrinkToFit="1" vertical="center"/>
      <protection locked="0"/>
    </xf>
    <xf fontId="5" fillId="0" borderId="3" numFmtId="0" xfId="0" applyFont="1" applyBorder="1" applyAlignment="1" applyProtection="1">
      <alignment horizontal="center" shrinkToFit="1" vertical="center"/>
      <protection locked="0"/>
    </xf>
    <xf fontId="5" fillId="0" borderId="5" numFmtId="56" xfId="0" applyNumberFormat="1" applyFont="1" applyBorder="1" applyAlignment="1">
      <alignment horizontal="center" shrinkToFit="1" vertical="center"/>
    </xf>
    <xf fontId="5" fillId="0" borderId="6" numFmtId="56" xfId="0" applyNumberFormat="1" applyFont="1" applyBorder="1" applyAlignment="1">
      <alignment horizontal="center" shrinkToFit="1" vertical="center"/>
    </xf>
    <xf fontId="5" fillId="0" borderId="7" numFmtId="56" xfId="0" applyNumberFormat="1" applyFont="1" applyBorder="1" applyAlignment="1">
      <alignment horizontal="center" shrinkToFit="1" vertical="center"/>
    </xf>
    <xf fontId="5" fillId="0" borderId="1" numFmtId="0" xfId="0" applyFont="1" applyBorder="1" applyAlignment="1">
      <alignment horizontal="center" shrinkToFit="1" vertical="center"/>
    </xf>
    <xf fontId="5" fillId="0" borderId="2" numFmtId="0" xfId="0" applyFont="1" applyBorder="1" applyAlignment="1">
      <alignment horizontal="center" shrinkToFit="1" vertical="center"/>
    </xf>
    <xf fontId="5" fillId="0" borderId="3" numFmtId="0" xfId="0" applyFont="1" applyBorder="1" applyAlignment="1">
      <alignment horizontal="center" shrinkToFit="1" vertical="center"/>
    </xf>
    <xf fontId="5" fillId="0" borderId="5" numFmtId="169" xfId="0" applyNumberFormat="1" applyFont="1" applyBorder="1" applyAlignment="1">
      <alignment horizontal="center" shrinkToFit="1" vertical="center"/>
    </xf>
    <xf fontId="5" fillId="0" borderId="6" numFmtId="169" xfId="0" applyNumberFormat="1" applyFont="1" applyBorder="1" applyAlignment="1">
      <alignment horizontal="center" shrinkToFit="1" vertical="center"/>
    </xf>
    <xf fontId="5" fillId="0" borderId="7" numFmtId="169" xfId="0" applyNumberFormat="1" applyFont="1" applyBorder="1" applyAlignment="1">
      <alignment horizontal="center" shrinkToFit="1" vertical="center"/>
    </xf>
    <xf fontId="8" fillId="0" borderId="5" numFmtId="0" xfId="0" applyFont="1" applyBorder="1" applyAlignment="1" applyProtection="1">
      <alignment horizontal="center" shrinkToFit="1" vertical="center" wrapText="1"/>
      <protection locked="0"/>
    </xf>
    <xf fontId="8" fillId="0" borderId="6" numFmtId="0" xfId="0" applyFont="1" applyBorder="1" applyAlignment="1" applyProtection="1">
      <alignment horizontal="center" shrinkToFit="1" vertical="center"/>
      <protection locked="0"/>
    </xf>
    <xf fontId="8" fillId="0" borderId="7" numFmtId="0" xfId="0" applyFont="1" applyBorder="1" applyAlignment="1" applyProtection="1">
      <alignment horizontal="center" shrinkToFit="1" vertical="center"/>
      <protection locked="0"/>
    </xf>
    <xf fontId="5" fillId="0" borderId="11" numFmtId="56" xfId="0" applyNumberFormat="1" applyFont="1" applyBorder="1" applyAlignment="1">
      <alignment horizontal="center" shrinkToFit="1" vertical="center"/>
    </xf>
    <xf fontId="5" fillId="0" borderId="8" numFmtId="56" xfId="0" applyNumberFormat="1" applyFont="1" applyBorder="1" applyAlignment="1">
      <alignment horizontal="center" shrinkToFit="1" vertical="center"/>
    </xf>
    <xf fontId="5" fillId="0" borderId="12" numFmtId="56" xfId="0" applyNumberFormat="1" applyFont="1" applyBorder="1" applyAlignment="1">
      <alignment horizontal="center" shrinkToFit="1" vertical="center"/>
    </xf>
    <xf fontId="5" fillId="0" borderId="1" numFmtId="170" xfId="0" applyNumberFormat="1" applyFont="1" applyBorder="1" applyAlignment="1">
      <alignment horizontal="center" shrinkToFit="1" vertical="center"/>
    </xf>
    <xf fontId="5" fillId="0" borderId="2" numFmtId="170" xfId="0" applyNumberFormat="1" applyFont="1" applyBorder="1" applyAlignment="1">
      <alignment horizontal="center" shrinkToFit="1" vertical="center"/>
    </xf>
    <xf fontId="5" fillId="0" borderId="3" numFmtId="170" xfId="0" applyNumberFormat="1" applyFont="1" applyBorder="1" applyAlignment="1">
      <alignment horizontal="center" shrinkToFit="1" vertical="center"/>
    </xf>
    <xf fontId="5" fillId="0" borderId="1" numFmtId="171" xfId="0" applyNumberFormat="1" applyFont="1" applyBorder="1" applyAlignment="1">
      <alignment horizontal="center" shrinkToFit="1" vertical="center"/>
    </xf>
    <xf fontId="5" fillId="0" borderId="2" numFmtId="171" xfId="0" applyNumberFormat="1" applyFont="1" applyBorder="1" applyAlignment="1">
      <alignment horizontal="center" shrinkToFit="1" vertical="center"/>
    </xf>
    <xf fontId="5" fillId="0" borderId="3" numFmtId="171" xfId="0" applyNumberFormat="1" applyFont="1" applyBorder="1" applyAlignment="1">
      <alignment horizontal="center" shrinkToFit="1" vertical="center"/>
    </xf>
    <xf fontId="5" fillId="0" borderId="11" numFmtId="169" xfId="0" applyNumberFormat="1" applyFont="1" applyBorder="1" applyAlignment="1">
      <alignment horizontal="center" shrinkToFit="1" vertical="center"/>
    </xf>
    <xf fontId="5" fillId="0" borderId="8" numFmtId="169" xfId="0" applyNumberFormat="1" applyFont="1" applyBorder="1" applyAlignment="1">
      <alignment horizontal="center" shrinkToFit="1" vertical="center"/>
    </xf>
    <xf fontId="5" fillId="0" borderId="12" numFmtId="169" xfId="0" applyNumberFormat="1" applyFont="1" applyBorder="1" applyAlignment="1">
      <alignment horizontal="center" shrinkToFit="1" vertical="center"/>
    </xf>
    <xf fontId="8" fillId="0" borderId="11" numFmtId="0" xfId="0" applyFont="1" applyBorder="1" applyAlignment="1" applyProtection="1">
      <alignment horizontal="center" shrinkToFit="1" vertical="center"/>
      <protection locked="0"/>
    </xf>
    <xf fontId="8" fillId="0" borderId="8" numFmtId="0" xfId="0" applyFont="1" applyBorder="1" applyAlignment="1" applyProtection="1">
      <alignment horizontal="center" shrinkToFit="1" vertical="center"/>
      <protection locked="0"/>
    </xf>
    <xf fontId="8" fillId="0" borderId="12" numFmtId="0" xfId="0" applyFont="1" applyBorder="1" applyAlignment="1" applyProtection="1">
      <alignment horizontal="center" shrinkToFit="1" vertical="center"/>
      <protection locked="0"/>
    </xf>
    <xf fontId="5" fillId="0" borderId="0" numFmtId="164" xfId="0" applyNumberFormat="1" applyFont="1" applyAlignment="1">
      <alignment horizontal="center" vertical="center"/>
    </xf>
    <xf fontId="0" fillId="3" borderId="9" numFmtId="0" xfId="0" applyFill="1" applyBorder="1" applyAlignment="1" applyProtection="1">
      <alignment vertical="center"/>
      <protection locked="0"/>
    </xf>
    <xf fontId="0" fillId="3" borderId="0" numFmtId="0" xfId="0" applyFill="1" applyAlignment="1" applyProtection="1">
      <alignment vertical="center"/>
      <protection locked="0"/>
    </xf>
    <xf fontId="0" fillId="3" borderId="10" numFmtId="0" xfId="0" applyFill="1" applyBorder="1" applyAlignment="1" applyProtection="1">
      <alignment vertical="center"/>
      <protection locked="0"/>
    </xf>
    <xf fontId="0" fillId="3" borderId="11" numFmtId="0" xfId="0" applyFill="1" applyBorder="1" applyAlignment="1" applyProtection="1">
      <alignment vertical="center"/>
      <protection locked="0"/>
    </xf>
    <xf fontId="0" fillId="3" borderId="8" numFmtId="0" xfId="0" applyFill="1" applyBorder="1" applyAlignment="1" applyProtection="1">
      <alignment vertical="center"/>
      <protection locked="0"/>
    </xf>
    <xf fontId="0" fillId="3" borderId="12" numFmtId="0" xfId="0" applyFill="1" applyBorder="1" applyAlignment="1" applyProtection="1">
      <alignment vertical="center"/>
      <protection locked="0"/>
    </xf>
    <xf fontId="8" fillId="0" borderId="5" numFmtId="0" xfId="0" applyFont="1" applyBorder="1" applyAlignment="1">
      <alignment horizontal="center" shrinkToFit="1" vertical="center" wrapText="1"/>
    </xf>
    <xf fontId="8" fillId="0" borderId="6" numFmtId="0" xfId="0" applyFont="1" applyBorder="1" applyAlignment="1">
      <alignment horizontal="center" shrinkToFit="1" vertical="center"/>
    </xf>
    <xf fontId="8" fillId="0" borderId="7" numFmtId="0" xfId="0" applyFont="1" applyBorder="1" applyAlignment="1">
      <alignment horizontal="center" shrinkToFit="1" vertical="center"/>
    </xf>
    <xf fontId="8" fillId="0" borderId="11" numFmtId="0" xfId="0" applyFont="1" applyBorder="1" applyAlignment="1">
      <alignment horizontal="center" shrinkToFit="1" vertical="center"/>
    </xf>
    <xf fontId="8" fillId="0" borderId="8" numFmtId="0" xfId="0" applyFont="1" applyBorder="1" applyAlignment="1">
      <alignment horizontal="center" shrinkToFit="1" vertical="center"/>
    </xf>
    <xf fontId="8" fillId="0" borderId="12" numFmtId="0" xfId="0" applyFont="1" applyBorder="1" applyAlignment="1">
      <alignment horizontal="center" shrinkToFit="1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4" zoomScale="100" workbookViewId="0">
      <selection activeCell="E2" activeCellId="0" sqref="E2:F2"/>
    </sheetView>
  </sheetViews>
  <sheetFormatPr defaultColWidth="9" defaultRowHeight="14.25"/>
  <cols>
    <col customWidth="1" min="1" max="28" style="1" width="3.59765625"/>
    <col customWidth="1" hidden="1" min="29" max="29" style="1" width="10.19921875"/>
    <col customWidth="1" hidden="1" min="30" max="30" style="1" width="9"/>
    <col customWidth="1" min="31" max="34" style="1" width="3.59765625"/>
    <col bestFit="1" customWidth="1" min="35" max="35" style="1" width="10.19921875"/>
    <col min="36" max="16384" style="1" width="9"/>
  </cols>
  <sheetData>
    <row r="1" ht="33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C1" s="3" t="s">
        <v>1</v>
      </c>
      <c r="AD1" s="3" t="s">
        <v>2</v>
      </c>
    </row>
    <row r="2">
      <c r="A2" s="4">
        <v>2026</v>
      </c>
      <c r="B2" s="4"/>
      <c r="C2" s="4"/>
      <c r="D2" s="5" t="s">
        <v>3</v>
      </c>
      <c r="E2" s="4">
        <v>3</v>
      </c>
      <c r="F2" s="4"/>
      <c r="G2" s="5" t="s">
        <v>4</v>
      </c>
      <c r="L2" s="6" t="s">
        <v>5</v>
      </c>
      <c r="M2" s="7"/>
      <c r="N2" s="7"/>
      <c r="O2" s="8" t="s">
        <v>6</v>
      </c>
      <c r="P2" s="8"/>
      <c r="Q2" s="9"/>
      <c r="S2" s="10" t="s">
        <v>7</v>
      </c>
      <c r="T2" s="10"/>
      <c r="U2" s="10"/>
      <c r="V2" s="10"/>
      <c r="W2" s="10" t="s">
        <v>8</v>
      </c>
      <c r="X2" s="10"/>
      <c r="Y2" s="10"/>
      <c r="Z2" s="10"/>
      <c r="AC2" s="11">
        <f ca="1">$AC$4-730</f>
        <v>45382</v>
      </c>
      <c r="AD2" s="12">
        <f t="shared" ref="AD2:AD6" ca="1" si="0">YEAR(AC2)</f>
        <v>2024</v>
      </c>
    </row>
    <row r="3">
      <c r="A3" s="13">
        <f>A8</f>
        <v>46082</v>
      </c>
      <c r="B3" s="13"/>
      <c r="C3" s="13"/>
      <c r="D3" s="13"/>
      <c r="E3" s="13"/>
      <c r="F3" s="13"/>
      <c r="G3" s="14" t="s">
        <v>9</v>
      </c>
      <c r="H3" s="14"/>
      <c r="I3" s="15">
        <f>IF(A3="","",MAX(A8:A38))</f>
        <v>46112</v>
      </c>
      <c r="J3" s="15"/>
      <c r="K3" s="15"/>
      <c r="L3" s="15"/>
      <c r="M3" s="15"/>
      <c r="N3" s="15"/>
      <c r="O3" s="14"/>
      <c r="P3" s="14"/>
      <c r="Q3" s="16"/>
      <c r="R3" s="16"/>
      <c r="S3" s="17"/>
      <c r="T3" s="18"/>
      <c r="U3" s="18"/>
      <c r="V3" s="19"/>
      <c r="W3" s="17"/>
      <c r="X3" s="18"/>
      <c r="Y3" s="18"/>
      <c r="Z3" s="19"/>
      <c r="AC3" s="11">
        <f ca="1">$AC$4-365</f>
        <v>45747</v>
      </c>
      <c r="AD3" s="12">
        <f t="shared" ca="1" si="0"/>
        <v>2025</v>
      </c>
    </row>
    <row r="4" ht="30" customHeight="1">
      <c r="A4" s="20" t="s">
        <v>10</v>
      </c>
      <c r="B4" s="20"/>
      <c r="C4" s="20"/>
      <c r="D4" s="21" t="s">
        <v>11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23"/>
      <c r="T4" s="24"/>
      <c r="U4" s="24"/>
      <c r="V4" s="25"/>
      <c r="W4" s="23"/>
      <c r="X4" s="24"/>
      <c r="Y4" s="24"/>
      <c r="Z4" s="25"/>
      <c r="AC4" s="11">
        <f ca="1">TODAY()</f>
        <v>46112</v>
      </c>
      <c r="AD4" s="12">
        <f t="shared" ca="1" si="0"/>
        <v>2026</v>
      </c>
      <c r="AF4" s="26"/>
    </row>
    <row r="5" ht="30" customHeight="1">
      <c r="A5" s="27" t="s">
        <v>12</v>
      </c>
      <c r="B5" s="27"/>
      <c r="C5" s="27"/>
      <c r="D5" s="28">
        <v>1000250067</v>
      </c>
      <c r="E5" s="28"/>
      <c r="F5" s="28"/>
      <c r="G5" s="28"/>
      <c r="H5" s="28"/>
      <c r="I5" s="28"/>
      <c r="J5" s="29" t="s">
        <v>13</v>
      </c>
      <c r="K5" s="29"/>
      <c r="L5" s="30" t="s">
        <v>14</v>
      </c>
      <c r="M5" s="30"/>
      <c r="N5" s="30"/>
      <c r="O5" s="30"/>
      <c r="P5" s="30"/>
      <c r="Q5" s="30"/>
      <c r="R5" s="22"/>
      <c r="S5" s="31"/>
      <c r="T5" s="32"/>
      <c r="U5" s="32"/>
      <c r="V5" s="33"/>
      <c r="W5" s="31"/>
      <c r="X5" s="32"/>
      <c r="Y5" s="32"/>
      <c r="Z5" s="33"/>
      <c r="AC5" s="11">
        <f ca="1">$AC$4+365</f>
        <v>46477</v>
      </c>
      <c r="AD5" s="12">
        <f t="shared" ca="1" si="0"/>
        <v>2027</v>
      </c>
    </row>
    <row r="6" ht="18.75" customHeight="1">
      <c r="A6" s="34" t="s">
        <v>15</v>
      </c>
      <c r="B6" s="35"/>
      <c r="C6" s="36"/>
      <c r="D6" s="37" t="s">
        <v>16</v>
      </c>
      <c r="E6" s="36"/>
      <c r="F6" s="34" t="s">
        <v>17</v>
      </c>
      <c r="G6" s="38"/>
      <c r="H6" s="38"/>
      <c r="I6" s="38"/>
      <c r="J6" s="38"/>
      <c r="K6" s="39"/>
      <c r="L6" s="34" t="s">
        <v>18</v>
      </c>
      <c r="M6" s="38"/>
      <c r="N6" s="38"/>
      <c r="O6" s="38"/>
      <c r="P6" s="39"/>
      <c r="Q6" s="34" t="s">
        <v>19</v>
      </c>
      <c r="R6" s="38"/>
      <c r="S6" s="38"/>
      <c r="T6" s="38"/>
      <c r="U6" s="39"/>
      <c r="V6" s="37" t="s">
        <v>20</v>
      </c>
      <c r="W6" s="35"/>
      <c r="X6" s="35"/>
      <c r="Y6" s="35"/>
      <c r="Z6" s="36"/>
      <c r="AC6" s="11">
        <f ca="1">$AC$4+730</f>
        <v>46842</v>
      </c>
      <c r="AD6" s="12">
        <f t="shared" ca="1" si="0"/>
        <v>2028</v>
      </c>
    </row>
    <row r="7">
      <c r="A7" s="40"/>
      <c r="B7" s="41"/>
      <c r="C7" s="42"/>
      <c r="D7" s="40"/>
      <c r="E7" s="42"/>
      <c r="F7" s="43"/>
      <c r="G7" s="44"/>
      <c r="H7" s="44"/>
      <c r="I7" s="44"/>
      <c r="J7" s="44"/>
      <c r="K7" s="45"/>
      <c r="L7" s="46" t="s">
        <v>21</v>
      </c>
      <c r="M7" s="47"/>
      <c r="N7" s="48">
        <v>340</v>
      </c>
      <c r="O7" s="48"/>
      <c r="P7" s="49"/>
      <c r="Q7" s="46" t="s">
        <v>21</v>
      </c>
      <c r="R7" s="47"/>
      <c r="S7" s="48">
        <v>0</v>
      </c>
      <c r="T7" s="48"/>
      <c r="U7" s="49"/>
      <c r="V7" s="40"/>
      <c r="W7" s="41"/>
      <c r="X7" s="41"/>
      <c r="Y7" s="41"/>
      <c r="Z7" s="42"/>
    </row>
    <row r="8" ht="21.75" customHeight="1">
      <c r="A8" s="50">
        <f>IF(O2="末",DATE(A2,E2,1),DATE(A2,E2,O2+1))</f>
        <v>46082</v>
      </c>
      <c r="B8" s="50"/>
      <c r="C8" s="50"/>
      <c r="D8" s="51" t="str">
        <f t="shared" ref="D8:D37" si="1">IF(A8="","",TEXT(A8,"aaa"))</f>
        <v>Sun</v>
      </c>
      <c r="E8" s="51"/>
      <c r="F8" s="52"/>
      <c r="G8" s="53"/>
      <c r="H8" s="53"/>
      <c r="I8" s="53"/>
      <c r="J8" s="53"/>
      <c r="K8" s="54"/>
      <c r="L8" s="55" t="str">
        <f t="shared" ref="L8:L38" si="2">IF(AND(COUNTIF(F8,"*出勤*"),$L$7="日額"),$N$7,"")</f>
        <v/>
      </c>
      <c r="M8" s="56"/>
      <c r="N8" s="56"/>
      <c r="O8" s="56"/>
      <c r="P8" s="57"/>
      <c r="Q8" s="55" t="str">
        <f t="shared" ref="Q8:Q38" si="3">IF(AND(COUNTIF(F8,"*テレ*"),$Q$7="日額"),$S$7,"")</f>
        <v/>
      </c>
      <c r="R8" s="56"/>
      <c r="S8" s="56"/>
      <c r="T8" s="56"/>
      <c r="U8" s="57"/>
      <c r="V8" s="58" t="s">
        <v>22</v>
      </c>
      <c r="W8" s="59"/>
      <c r="X8" s="59"/>
      <c r="Y8" s="59"/>
      <c r="Z8" s="60"/>
    </row>
    <row r="9" ht="21.75" customHeight="1">
      <c r="A9" s="50">
        <f t="shared" ref="A9:A35" si="4">A8+1</f>
        <v>46083</v>
      </c>
      <c r="B9" s="50"/>
      <c r="C9" s="50"/>
      <c r="D9" s="51" t="str">
        <f t="shared" si="1"/>
        <v>Mon</v>
      </c>
      <c r="E9" s="51"/>
      <c r="F9" s="52" t="s">
        <v>23</v>
      </c>
      <c r="G9" s="53"/>
      <c r="H9" s="53"/>
      <c r="I9" s="53"/>
      <c r="J9" s="53"/>
      <c r="K9" s="54"/>
      <c r="L9" s="55" t="str">
        <f t="shared" si="2"/>
        <v/>
      </c>
      <c r="M9" s="56"/>
      <c r="N9" s="56"/>
      <c r="O9" s="56"/>
      <c r="P9" s="57"/>
      <c r="Q9" s="55">
        <f t="shared" si="3"/>
        <v>0</v>
      </c>
      <c r="R9" s="56"/>
      <c r="S9" s="56"/>
      <c r="T9" s="56"/>
      <c r="U9" s="57"/>
      <c r="V9" s="58"/>
      <c r="W9" s="59"/>
      <c r="X9" s="59"/>
      <c r="Y9" s="59"/>
      <c r="Z9" s="60"/>
    </row>
    <row r="10" ht="21.75" customHeight="1">
      <c r="A10" s="50">
        <f t="shared" si="4"/>
        <v>46084</v>
      </c>
      <c r="B10" s="50"/>
      <c r="C10" s="50"/>
      <c r="D10" s="51" t="str">
        <f t="shared" si="1"/>
        <v>Tue</v>
      </c>
      <c r="E10" s="51"/>
      <c r="F10" s="52" t="s">
        <v>24</v>
      </c>
      <c r="G10" s="53"/>
      <c r="H10" s="53"/>
      <c r="I10" s="53"/>
      <c r="J10" s="53"/>
      <c r="K10" s="54"/>
      <c r="L10" s="55" t="str">
        <f t="shared" si="2"/>
        <v/>
      </c>
      <c r="M10" s="56"/>
      <c r="N10" s="56"/>
      <c r="O10" s="56"/>
      <c r="P10" s="57"/>
      <c r="Q10" s="55" t="str">
        <f t="shared" si="3"/>
        <v/>
      </c>
      <c r="R10" s="56"/>
      <c r="S10" s="56"/>
      <c r="T10" s="56"/>
      <c r="U10" s="57"/>
      <c r="V10" s="58" t="s">
        <v>25</v>
      </c>
      <c r="W10" s="59"/>
      <c r="X10" s="59"/>
      <c r="Y10" s="59"/>
      <c r="Z10" s="60"/>
    </row>
    <row r="11" ht="21.75" customHeight="1">
      <c r="A11" s="50">
        <f t="shared" si="4"/>
        <v>46085</v>
      </c>
      <c r="B11" s="50"/>
      <c r="C11" s="50"/>
      <c r="D11" s="51" t="str">
        <f t="shared" si="1"/>
        <v>Wed</v>
      </c>
      <c r="E11" s="51"/>
      <c r="F11" s="52" t="s">
        <v>23</v>
      </c>
      <c r="G11" s="53"/>
      <c r="H11" s="53"/>
      <c r="I11" s="53"/>
      <c r="J11" s="53"/>
      <c r="K11" s="54"/>
      <c r="L11" s="55" t="str">
        <f t="shared" si="2"/>
        <v/>
      </c>
      <c r="M11" s="56"/>
      <c r="N11" s="56"/>
      <c r="O11" s="56"/>
      <c r="P11" s="57"/>
      <c r="Q11" s="55">
        <f t="shared" si="3"/>
        <v>0</v>
      </c>
      <c r="R11" s="56"/>
      <c r="S11" s="56"/>
      <c r="T11" s="56"/>
      <c r="U11" s="57"/>
      <c r="V11" s="58"/>
      <c r="W11" s="59"/>
      <c r="X11" s="59"/>
      <c r="Y11" s="59"/>
      <c r="Z11" s="60"/>
    </row>
    <row r="12" ht="21.75" customHeight="1">
      <c r="A12" s="50">
        <f t="shared" si="4"/>
        <v>46086</v>
      </c>
      <c r="B12" s="50"/>
      <c r="C12" s="50"/>
      <c r="D12" s="51" t="str">
        <f t="shared" si="1"/>
        <v>Thu</v>
      </c>
      <c r="E12" s="51"/>
      <c r="F12" s="52" t="s">
        <v>26</v>
      </c>
      <c r="G12" s="53"/>
      <c r="H12" s="53"/>
      <c r="I12" s="53"/>
      <c r="J12" s="53"/>
      <c r="K12" s="54"/>
      <c r="L12" s="55">
        <f t="shared" si="2"/>
        <v>340</v>
      </c>
      <c r="M12" s="56"/>
      <c r="N12" s="56"/>
      <c r="O12" s="56"/>
      <c r="P12" s="57"/>
      <c r="Q12" s="55" t="str">
        <f t="shared" si="3"/>
        <v/>
      </c>
      <c r="R12" s="56"/>
      <c r="S12" s="56"/>
      <c r="T12" s="56"/>
      <c r="U12" s="57"/>
      <c r="V12" s="58"/>
      <c r="W12" s="59"/>
      <c r="X12" s="59"/>
      <c r="Y12" s="59"/>
      <c r="Z12" s="60"/>
    </row>
    <row r="13" ht="21.75" customHeight="1">
      <c r="A13" s="50">
        <f t="shared" si="4"/>
        <v>46087</v>
      </c>
      <c r="B13" s="50"/>
      <c r="C13" s="50"/>
      <c r="D13" s="51" t="str">
        <f t="shared" si="1"/>
        <v>Fri</v>
      </c>
      <c r="E13" s="51"/>
      <c r="F13" s="52" t="s">
        <v>23</v>
      </c>
      <c r="G13" s="53"/>
      <c r="H13" s="53"/>
      <c r="I13" s="53"/>
      <c r="J13" s="53"/>
      <c r="K13" s="54"/>
      <c r="L13" s="55" t="str">
        <f t="shared" si="2"/>
        <v/>
      </c>
      <c r="M13" s="56"/>
      <c r="N13" s="56"/>
      <c r="O13" s="56"/>
      <c r="P13" s="57"/>
      <c r="Q13" s="55">
        <f t="shared" si="3"/>
        <v>0</v>
      </c>
      <c r="R13" s="56"/>
      <c r="S13" s="56"/>
      <c r="T13" s="56"/>
      <c r="U13" s="57"/>
      <c r="V13" s="58"/>
      <c r="W13" s="59"/>
      <c r="X13" s="59"/>
      <c r="Y13" s="59"/>
      <c r="Z13" s="60"/>
    </row>
    <row r="14" ht="21.75" customHeight="1">
      <c r="A14" s="50">
        <f t="shared" si="4"/>
        <v>46088</v>
      </c>
      <c r="B14" s="50"/>
      <c r="C14" s="50"/>
      <c r="D14" s="51" t="str">
        <f t="shared" si="1"/>
        <v>Sat</v>
      </c>
      <c r="E14" s="51"/>
      <c r="F14" s="52"/>
      <c r="G14" s="53"/>
      <c r="H14" s="53"/>
      <c r="I14" s="53"/>
      <c r="J14" s="53"/>
      <c r="K14" s="54"/>
      <c r="L14" s="55" t="str">
        <f t="shared" si="2"/>
        <v/>
      </c>
      <c r="M14" s="56"/>
      <c r="N14" s="56"/>
      <c r="O14" s="56"/>
      <c r="P14" s="57"/>
      <c r="Q14" s="55" t="str">
        <f t="shared" si="3"/>
        <v/>
      </c>
      <c r="R14" s="56"/>
      <c r="S14" s="56"/>
      <c r="T14" s="56"/>
      <c r="U14" s="57"/>
      <c r="V14" s="58" t="s">
        <v>22</v>
      </c>
      <c r="W14" s="59"/>
      <c r="X14" s="59"/>
      <c r="Y14" s="59"/>
      <c r="Z14" s="60"/>
    </row>
    <row r="15" ht="21.75" customHeight="1">
      <c r="A15" s="50">
        <f t="shared" si="4"/>
        <v>46089</v>
      </c>
      <c r="B15" s="50"/>
      <c r="C15" s="50"/>
      <c r="D15" s="51" t="str">
        <f t="shared" si="1"/>
        <v>Sun</v>
      </c>
      <c r="E15" s="51"/>
      <c r="F15" s="52"/>
      <c r="G15" s="53"/>
      <c r="H15" s="53"/>
      <c r="I15" s="53"/>
      <c r="J15" s="53"/>
      <c r="K15" s="54"/>
      <c r="L15" s="55" t="str">
        <f t="shared" si="2"/>
        <v/>
      </c>
      <c r="M15" s="56"/>
      <c r="N15" s="56"/>
      <c r="O15" s="56"/>
      <c r="P15" s="57"/>
      <c r="Q15" s="55" t="str">
        <f t="shared" si="3"/>
        <v/>
      </c>
      <c r="R15" s="56"/>
      <c r="S15" s="56"/>
      <c r="T15" s="56"/>
      <c r="U15" s="57"/>
      <c r="V15" s="58" t="s">
        <v>22</v>
      </c>
      <c r="W15" s="59"/>
      <c r="X15" s="59"/>
      <c r="Y15" s="59"/>
      <c r="Z15" s="60"/>
    </row>
    <row r="16" ht="21.75" customHeight="1">
      <c r="A16" s="50">
        <f t="shared" si="4"/>
        <v>46090</v>
      </c>
      <c r="B16" s="50"/>
      <c r="C16" s="50"/>
      <c r="D16" s="51" t="str">
        <f t="shared" si="1"/>
        <v>Mon</v>
      </c>
      <c r="E16" s="51"/>
      <c r="F16" s="52" t="s">
        <v>23</v>
      </c>
      <c r="G16" s="53"/>
      <c r="H16" s="53"/>
      <c r="I16" s="53"/>
      <c r="J16" s="53"/>
      <c r="K16" s="54"/>
      <c r="L16" s="55" t="str">
        <f t="shared" si="2"/>
        <v/>
      </c>
      <c r="M16" s="56"/>
      <c r="N16" s="56"/>
      <c r="O16" s="56"/>
      <c r="P16" s="57"/>
      <c r="Q16" s="55">
        <f t="shared" si="3"/>
        <v>0</v>
      </c>
      <c r="R16" s="56"/>
      <c r="S16" s="56"/>
      <c r="T16" s="56"/>
      <c r="U16" s="57"/>
      <c r="V16" s="58"/>
      <c r="W16" s="59"/>
      <c r="X16" s="59"/>
      <c r="Y16" s="59"/>
      <c r="Z16" s="60"/>
    </row>
    <row r="17" ht="21.75" customHeight="1">
      <c r="A17" s="50">
        <f t="shared" si="4"/>
        <v>46091</v>
      </c>
      <c r="B17" s="50"/>
      <c r="C17" s="50"/>
      <c r="D17" s="51" t="str">
        <f t="shared" si="1"/>
        <v>Tue</v>
      </c>
      <c r="E17" s="51"/>
      <c r="F17" s="52" t="s">
        <v>24</v>
      </c>
      <c r="G17" s="53"/>
      <c r="H17" s="53"/>
      <c r="I17" s="53"/>
      <c r="J17" s="53"/>
      <c r="K17" s="54"/>
      <c r="L17" s="55" t="str">
        <f t="shared" si="2"/>
        <v/>
      </c>
      <c r="M17" s="56"/>
      <c r="N17" s="56"/>
      <c r="O17" s="56"/>
      <c r="P17" s="57"/>
      <c r="Q17" s="55" t="str">
        <f t="shared" si="3"/>
        <v/>
      </c>
      <c r="R17" s="56"/>
      <c r="S17" s="56"/>
      <c r="T17" s="56"/>
      <c r="U17" s="57"/>
      <c r="V17" s="58" t="s">
        <v>25</v>
      </c>
      <c r="W17" s="59"/>
      <c r="X17" s="59"/>
      <c r="Y17" s="59"/>
      <c r="Z17" s="60"/>
    </row>
    <row r="18" ht="21.75" customHeight="1">
      <c r="A18" s="50">
        <f t="shared" si="4"/>
        <v>46092</v>
      </c>
      <c r="B18" s="50"/>
      <c r="C18" s="50"/>
      <c r="D18" s="51" t="str">
        <f t="shared" si="1"/>
        <v>Wed</v>
      </c>
      <c r="E18" s="51"/>
      <c r="F18" s="52" t="s">
        <v>23</v>
      </c>
      <c r="G18" s="53"/>
      <c r="H18" s="53"/>
      <c r="I18" s="53"/>
      <c r="J18" s="53"/>
      <c r="K18" s="54"/>
      <c r="L18" s="55" t="str">
        <f t="shared" si="2"/>
        <v/>
      </c>
      <c r="M18" s="56"/>
      <c r="N18" s="56"/>
      <c r="O18" s="56"/>
      <c r="P18" s="57"/>
      <c r="Q18" s="55">
        <f t="shared" si="3"/>
        <v>0</v>
      </c>
      <c r="R18" s="56"/>
      <c r="S18" s="56"/>
      <c r="T18" s="56"/>
      <c r="U18" s="57"/>
      <c r="V18" s="58"/>
      <c r="W18" s="59"/>
      <c r="X18" s="59"/>
      <c r="Y18" s="59"/>
      <c r="Z18" s="60"/>
    </row>
    <row r="19" ht="21.75" customHeight="1">
      <c r="A19" s="50">
        <f t="shared" si="4"/>
        <v>46093</v>
      </c>
      <c r="B19" s="50"/>
      <c r="C19" s="50"/>
      <c r="D19" s="51" t="str">
        <f t="shared" si="1"/>
        <v>Thu</v>
      </c>
      <c r="E19" s="51"/>
      <c r="F19" s="52" t="s">
        <v>26</v>
      </c>
      <c r="G19" s="53"/>
      <c r="H19" s="53"/>
      <c r="I19" s="53"/>
      <c r="J19" s="53"/>
      <c r="K19" s="54"/>
      <c r="L19" s="55">
        <f t="shared" si="2"/>
        <v>340</v>
      </c>
      <c r="M19" s="56"/>
      <c r="N19" s="56"/>
      <c r="O19" s="56"/>
      <c r="P19" s="57"/>
      <c r="Q19" s="55" t="str">
        <f t="shared" si="3"/>
        <v/>
      </c>
      <c r="R19" s="56"/>
      <c r="S19" s="56"/>
      <c r="T19" s="56"/>
      <c r="U19" s="57"/>
      <c r="V19" s="58"/>
      <c r="W19" s="59"/>
      <c r="X19" s="59"/>
      <c r="Y19" s="59"/>
      <c r="Z19" s="60"/>
    </row>
    <row r="20" ht="21.75" customHeight="1">
      <c r="A20" s="50">
        <f t="shared" si="4"/>
        <v>46094</v>
      </c>
      <c r="B20" s="50"/>
      <c r="C20" s="50"/>
      <c r="D20" s="51" t="str">
        <f t="shared" si="1"/>
        <v>Fri</v>
      </c>
      <c r="E20" s="51"/>
      <c r="F20" s="52" t="s">
        <v>23</v>
      </c>
      <c r="G20" s="53"/>
      <c r="H20" s="53"/>
      <c r="I20" s="53"/>
      <c r="J20" s="53"/>
      <c r="K20" s="54"/>
      <c r="L20" s="55" t="str">
        <f t="shared" si="2"/>
        <v/>
      </c>
      <c r="M20" s="56"/>
      <c r="N20" s="56"/>
      <c r="O20" s="56"/>
      <c r="P20" s="57"/>
      <c r="Q20" s="55">
        <f t="shared" si="3"/>
        <v>0</v>
      </c>
      <c r="R20" s="56"/>
      <c r="S20" s="56"/>
      <c r="T20" s="56"/>
      <c r="U20" s="57"/>
      <c r="V20" s="58"/>
      <c r="W20" s="59"/>
      <c r="X20" s="59"/>
      <c r="Y20" s="59"/>
      <c r="Z20" s="60"/>
    </row>
    <row r="21" ht="21.75" customHeight="1">
      <c r="A21" s="50">
        <f t="shared" si="4"/>
        <v>46095</v>
      </c>
      <c r="B21" s="50"/>
      <c r="C21" s="50"/>
      <c r="D21" s="51" t="str">
        <f t="shared" si="1"/>
        <v>Sat</v>
      </c>
      <c r="E21" s="51"/>
      <c r="F21" s="52"/>
      <c r="G21" s="53"/>
      <c r="H21" s="53"/>
      <c r="I21" s="53"/>
      <c r="J21" s="53"/>
      <c r="K21" s="54"/>
      <c r="L21" s="55" t="str">
        <f t="shared" si="2"/>
        <v/>
      </c>
      <c r="M21" s="56"/>
      <c r="N21" s="56"/>
      <c r="O21" s="56"/>
      <c r="P21" s="57"/>
      <c r="Q21" s="55" t="str">
        <f t="shared" si="3"/>
        <v/>
      </c>
      <c r="R21" s="56"/>
      <c r="S21" s="56"/>
      <c r="T21" s="56"/>
      <c r="U21" s="57"/>
      <c r="V21" s="58" t="s">
        <v>22</v>
      </c>
      <c r="W21" s="59"/>
      <c r="X21" s="59"/>
      <c r="Y21" s="59"/>
      <c r="Z21" s="60"/>
    </row>
    <row r="22" ht="21.75" customHeight="1">
      <c r="A22" s="50">
        <f t="shared" si="4"/>
        <v>46096</v>
      </c>
      <c r="B22" s="50"/>
      <c r="C22" s="50"/>
      <c r="D22" s="51" t="str">
        <f t="shared" si="1"/>
        <v>Sun</v>
      </c>
      <c r="E22" s="51"/>
      <c r="F22" s="52"/>
      <c r="G22" s="53"/>
      <c r="H22" s="53"/>
      <c r="I22" s="53"/>
      <c r="J22" s="53"/>
      <c r="K22" s="54"/>
      <c r="L22" s="55" t="str">
        <f t="shared" si="2"/>
        <v/>
      </c>
      <c r="M22" s="56"/>
      <c r="N22" s="56"/>
      <c r="O22" s="56"/>
      <c r="P22" s="57"/>
      <c r="Q22" s="55" t="str">
        <f t="shared" si="3"/>
        <v/>
      </c>
      <c r="R22" s="56"/>
      <c r="S22" s="56"/>
      <c r="T22" s="56"/>
      <c r="U22" s="57"/>
      <c r="V22" s="58" t="s">
        <v>22</v>
      </c>
      <c r="W22" s="59"/>
      <c r="X22" s="59"/>
      <c r="Y22" s="59"/>
      <c r="Z22" s="60"/>
    </row>
    <row r="23" ht="21.75" customHeight="1">
      <c r="A23" s="50">
        <f t="shared" si="4"/>
        <v>46097</v>
      </c>
      <c r="B23" s="50"/>
      <c r="C23" s="50"/>
      <c r="D23" s="51" t="str">
        <f t="shared" si="1"/>
        <v>Mon</v>
      </c>
      <c r="E23" s="51"/>
      <c r="F23" s="52" t="s">
        <v>23</v>
      </c>
      <c r="G23" s="53"/>
      <c r="H23" s="53"/>
      <c r="I23" s="53"/>
      <c r="J23" s="53"/>
      <c r="K23" s="54"/>
      <c r="L23" s="55" t="str">
        <f t="shared" si="2"/>
        <v/>
      </c>
      <c r="M23" s="56"/>
      <c r="N23" s="56"/>
      <c r="O23" s="56"/>
      <c r="P23" s="57"/>
      <c r="Q23" s="55">
        <f t="shared" si="3"/>
        <v>0</v>
      </c>
      <c r="R23" s="56"/>
      <c r="S23" s="56"/>
      <c r="T23" s="56"/>
      <c r="U23" s="57"/>
      <c r="V23" s="58"/>
      <c r="W23" s="59"/>
      <c r="X23" s="59"/>
      <c r="Y23" s="59"/>
      <c r="Z23" s="60"/>
    </row>
    <row r="24" ht="21.75" customHeight="1">
      <c r="A24" s="50">
        <f t="shared" si="4"/>
        <v>46098</v>
      </c>
      <c r="B24" s="50"/>
      <c r="C24" s="50"/>
      <c r="D24" s="51" t="str">
        <f t="shared" si="1"/>
        <v>Tue</v>
      </c>
      <c r="E24" s="51"/>
      <c r="F24" s="52" t="s">
        <v>24</v>
      </c>
      <c r="G24" s="53"/>
      <c r="H24" s="53"/>
      <c r="I24" s="53"/>
      <c r="J24" s="53"/>
      <c r="K24" s="54"/>
      <c r="L24" s="55" t="str">
        <f t="shared" si="2"/>
        <v/>
      </c>
      <c r="M24" s="56"/>
      <c r="N24" s="56"/>
      <c r="O24" s="56"/>
      <c r="P24" s="57"/>
      <c r="Q24" s="55" t="str">
        <f t="shared" si="3"/>
        <v/>
      </c>
      <c r="R24" s="56"/>
      <c r="S24" s="56"/>
      <c r="T24" s="56"/>
      <c r="U24" s="57"/>
      <c r="V24" s="58" t="s">
        <v>25</v>
      </c>
      <c r="W24" s="59"/>
      <c r="X24" s="59"/>
      <c r="Y24" s="59"/>
      <c r="Z24" s="60"/>
    </row>
    <row r="25" ht="21.75" customHeight="1">
      <c r="A25" s="50">
        <f t="shared" si="4"/>
        <v>46099</v>
      </c>
      <c r="B25" s="50"/>
      <c r="C25" s="50"/>
      <c r="D25" s="51" t="str">
        <f t="shared" si="1"/>
        <v>Wed</v>
      </c>
      <c r="E25" s="51"/>
      <c r="F25" s="52" t="s">
        <v>23</v>
      </c>
      <c r="G25" s="53"/>
      <c r="H25" s="53"/>
      <c r="I25" s="53"/>
      <c r="J25" s="53"/>
      <c r="K25" s="54"/>
      <c r="L25" s="55" t="str">
        <f t="shared" si="2"/>
        <v/>
      </c>
      <c r="M25" s="56"/>
      <c r="N25" s="56"/>
      <c r="O25" s="56"/>
      <c r="P25" s="57"/>
      <c r="Q25" s="55">
        <f t="shared" si="3"/>
        <v>0</v>
      </c>
      <c r="R25" s="56"/>
      <c r="S25" s="56"/>
      <c r="T25" s="56"/>
      <c r="U25" s="57"/>
      <c r="V25" s="58"/>
      <c r="W25" s="59"/>
      <c r="X25" s="59"/>
      <c r="Y25" s="59"/>
      <c r="Z25" s="60"/>
    </row>
    <row r="26" ht="21.75" customHeight="1">
      <c r="A26" s="50">
        <f t="shared" si="4"/>
        <v>46100</v>
      </c>
      <c r="B26" s="50"/>
      <c r="C26" s="50"/>
      <c r="D26" s="51" t="str">
        <f t="shared" si="1"/>
        <v>Thu</v>
      </c>
      <c r="E26" s="51"/>
      <c r="F26" s="52" t="s">
        <v>26</v>
      </c>
      <c r="G26" s="53"/>
      <c r="H26" s="53"/>
      <c r="I26" s="53"/>
      <c r="J26" s="53"/>
      <c r="K26" s="54"/>
      <c r="L26" s="55">
        <f t="shared" si="2"/>
        <v>340</v>
      </c>
      <c r="M26" s="56"/>
      <c r="N26" s="56"/>
      <c r="O26" s="56"/>
      <c r="P26" s="57"/>
      <c r="Q26" s="55" t="str">
        <f t="shared" si="3"/>
        <v/>
      </c>
      <c r="R26" s="56"/>
      <c r="S26" s="56"/>
      <c r="T26" s="56"/>
      <c r="U26" s="57"/>
      <c r="V26" s="58"/>
      <c r="W26" s="59"/>
      <c r="X26" s="59"/>
      <c r="Y26" s="59"/>
      <c r="Z26" s="60"/>
    </row>
    <row r="27" ht="21.75" customHeight="1">
      <c r="A27" s="50">
        <f t="shared" si="4"/>
        <v>46101</v>
      </c>
      <c r="B27" s="50"/>
      <c r="C27" s="50"/>
      <c r="D27" s="51" t="str">
        <f t="shared" si="1"/>
        <v>Fri</v>
      </c>
      <c r="E27" s="51"/>
      <c r="F27" s="52"/>
      <c r="G27" s="53"/>
      <c r="H27" s="53"/>
      <c r="I27" s="53"/>
      <c r="J27" s="53"/>
      <c r="K27" s="54"/>
      <c r="L27" s="55" t="str">
        <f t="shared" si="2"/>
        <v/>
      </c>
      <c r="M27" s="56"/>
      <c r="N27" s="56"/>
      <c r="O27" s="56"/>
      <c r="P27" s="57"/>
      <c r="Q27" s="55" t="str">
        <f t="shared" si="3"/>
        <v/>
      </c>
      <c r="R27" s="56"/>
      <c r="S27" s="56"/>
      <c r="T27" s="56"/>
      <c r="U27" s="57"/>
      <c r="V27" s="58" t="s">
        <v>22</v>
      </c>
      <c r="W27" s="59"/>
      <c r="X27" s="59"/>
      <c r="Y27" s="59"/>
      <c r="Z27" s="60"/>
    </row>
    <row r="28" ht="21.75" customHeight="1">
      <c r="A28" s="50">
        <f t="shared" si="4"/>
        <v>46102</v>
      </c>
      <c r="B28" s="50"/>
      <c r="C28" s="50"/>
      <c r="D28" s="51" t="str">
        <f t="shared" si="1"/>
        <v>Sat</v>
      </c>
      <c r="E28" s="51"/>
      <c r="F28" s="52"/>
      <c r="G28" s="53"/>
      <c r="H28" s="53"/>
      <c r="I28" s="53"/>
      <c r="J28" s="53"/>
      <c r="K28" s="54"/>
      <c r="L28" s="55" t="str">
        <f t="shared" si="2"/>
        <v/>
      </c>
      <c r="M28" s="56"/>
      <c r="N28" s="56"/>
      <c r="O28" s="56"/>
      <c r="P28" s="57"/>
      <c r="Q28" s="55" t="str">
        <f t="shared" si="3"/>
        <v/>
      </c>
      <c r="R28" s="56"/>
      <c r="S28" s="56"/>
      <c r="T28" s="56"/>
      <c r="U28" s="57"/>
      <c r="V28" s="58" t="s">
        <v>22</v>
      </c>
      <c r="W28" s="59"/>
      <c r="X28" s="59"/>
      <c r="Y28" s="59"/>
      <c r="Z28" s="60"/>
    </row>
    <row r="29" ht="21.75" customHeight="1">
      <c r="A29" s="50">
        <f t="shared" si="4"/>
        <v>46103</v>
      </c>
      <c r="B29" s="50"/>
      <c r="C29" s="50"/>
      <c r="D29" s="51" t="str">
        <f t="shared" si="1"/>
        <v>Sun</v>
      </c>
      <c r="E29" s="51"/>
      <c r="F29" s="52"/>
      <c r="G29" s="53"/>
      <c r="H29" s="53"/>
      <c r="I29" s="53"/>
      <c r="J29" s="53"/>
      <c r="K29" s="54"/>
      <c r="L29" s="55" t="str">
        <f t="shared" si="2"/>
        <v/>
      </c>
      <c r="M29" s="56"/>
      <c r="N29" s="56"/>
      <c r="O29" s="56"/>
      <c r="P29" s="57"/>
      <c r="Q29" s="55" t="str">
        <f t="shared" si="3"/>
        <v/>
      </c>
      <c r="R29" s="56"/>
      <c r="S29" s="56"/>
      <c r="T29" s="56"/>
      <c r="U29" s="57"/>
      <c r="V29" s="58" t="s">
        <v>22</v>
      </c>
      <c r="W29" s="59"/>
      <c r="X29" s="59"/>
      <c r="Y29" s="59"/>
      <c r="Z29" s="60"/>
    </row>
    <row r="30" ht="21.75" customHeight="1">
      <c r="A30" s="50">
        <f t="shared" si="4"/>
        <v>46104</v>
      </c>
      <c r="B30" s="50"/>
      <c r="C30" s="50"/>
      <c r="D30" s="51" t="str">
        <f t="shared" si="1"/>
        <v>Mon</v>
      </c>
      <c r="E30" s="51"/>
      <c r="F30" s="52" t="s">
        <v>26</v>
      </c>
      <c r="G30" s="53"/>
      <c r="H30" s="53"/>
      <c r="I30" s="53"/>
      <c r="J30" s="53"/>
      <c r="K30" s="54"/>
      <c r="L30" s="55">
        <f t="shared" si="2"/>
        <v>340</v>
      </c>
      <c r="M30" s="56"/>
      <c r="N30" s="56"/>
      <c r="O30" s="56"/>
      <c r="P30" s="57"/>
      <c r="Q30" s="55" t="str">
        <f t="shared" si="3"/>
        <v/>
      </c>
      <c r="R30" s="56"/>
      <c r="S30" s="56"/>
      <c r="T30" s="56"/>
      <c r="U30" s="57"/>
      <c r="V30" s="58"/>
      <c r="W30" s="59"/>
      <c r="X30" s="59"/>
      <c r="Y30" s="59"/>
      <c r="Z30" s="60"/>
    </row>
    <row r="31" ht="21.75" customHeight="1">
      <c r="A31" s="50">
        <f t="shared" si="4"/>
        <v>46105</v>
      </c>
      <c r="B31" s="50"/>
      <c r="C31" s="50"/>
      <c r="D31" s="51" t="str">
        <f t="shared" si="1"/>
        <v>Tue</v>
      </c>
      <c r="E31" s="51"/>
      <c r="F31" s="52" t="s">
        <v>24</v>
      </c>
      <c r="G31" s="53"/>
      <c r="H31" s="53"/>
      <c r="I31" s="53"/>
      <c r="J31" s="53"/>
      <c r="K31" s="54"/>
      <c r="L31" s="55" t="str">
        <f t="shared" si="2"/>
        <v/>
      </c>
      <c r="M31" s="56"/>
      <c r="N31" s="56"/>
      <c r="O31" s="56"/>
      <c r="P31" s="57"/>
      <c r="Q31" s="55" t="str">
        <f t="shared" si="3"/>
        <v/>
      </c>
      <c r="R31" s="56"/>
      <c r="S31" s="56"/>
      <c r="T31" s="56"/>
      <c r="U31" s="57"/>
      <c r="V31" s="58" t="s">
        <v>25</v>
      </c>
      <c r="W31" s="59"/>
      <c r="X31" s="59"/>
      <c r="Y31" s="59"/>
      <c r="Z31" s="60"/>
    </row>
    <row r="32" ht="21.75" customHeight="1">
      <c r="A32" s="50">
        <f t="shared" si="4"/>
        <v>46106</v>
      </c>
      <c r="B32" s="50"/>
      <c r="C32" s="50"/>
      <c r="D32" s="51" t="str">
        <f t="shared" si="1"/>
        <v>Wed</v>
      </c>
      <c r="E32" s="51"/>
      <c r="F32" s="52" t="s">
        <v>23</v>
      </c>
      <c r="G32" s="53"/>
      <c r="H32" s="53"/>
      <c r="I32" s="53"/>
      <c r="J32" s="53"/>
      <c r="K32" s="54"/>
      <c r="L32" s="55" t="str">
        <f t="shared" si="2"/>
        <v/>
      </c>
      <c r="M32" s="56"/>
      <c r="N32" s="56"/>
      <c r="O32" s="56"/>
      <c r="P32" s="57"/>
      <c r="Q32" s="55">
        <f t="shared" si="3"/>
        <v>0</v>
      </c>
      <c r="R32" s="56"/>
      <c r="S32" s="56"/>
      <c r="T32" s="56"/>
      <c r="U32" s="57"/>
      <c r="V32" s="58"/>
      <c r="W32" s="59"/>
      <c r="X32" s="59"/>
      <c r="Y32" s="59"/>
      <c r="Z32" s="60"/>
    </row>
    <row r="33" ht="21.75" customHeight="1">
      <c r="A33" s="50">
        <f t="shared" si="4"/>
        <v>46107</v>
      </c>
      <c r="B33" s="50"/>
      <c r="C33" s="50"/>
      <c r="D33" s="51" t="str">
        <f t="shared" si="1"/>
        <v>Thu</v>
      </c>
      <c r="E33" s="51"/>
      <c r="F33" s="52" t="s">
        <v>26</v>
      </c>
      <c r="G33" s="53"/>
      <c r="H33" s="53"/>
      <c r="I33" s="53"/>
      <c r="J33" s="53"/>
      <c r="K33" s="54"/>
      <c r="L33" s="55">
        <f t="shared" si="2"/>
        <v>340</v>
      </c>
      <c r="M33" s="56"/>
      <c r="N33" s="56"/>
      <c r="O33" s="56"/>
      <c r="P33" s="57"/>
      <c r="Q33" s="55" t="str">
        <f t="shared" si="3"/>
        <v/>
      </c>
      <c r="R33" s="56"/>
      <c r="S33" s="56"/>
      <c r="T33" s="56"/>
      <c r="U33" s="57"/>
      <c r="V33" s="58"/>
      <c r="W33" s="59"/>
      <c r="X33" s="59"/>
      <c r="Y33" s="59"/>
      <c r="Z33" s="60"/>
    </row>
    <row r="34" ht="21.75" customHeight="1">
      <c r="A34" s="50">
        <f t="shared" si="4"/>
        <v>46108</v>
      </c>
      <c r="B34" s="50"/>
      <c r="C34" s="50"/>
      <c r="D34" s="51" t="str">
        <f t="shared" si="1"/>
        <v>Fri</v>
      </c>
      <c r="E34" s="51"/>
      <c r="F34" s="52" t="s">
        <v>23</v>
      </c>
      <c r="G34" s="53"/>
      <c r="H34" s="53"/>
      <c r="I34" s="53"/>
      <c r="J34" s="53"/>
      <c r="K34" s="54"/>
      <c r="L34" s="55" t="str">
        <f t="shared" si="2"/>
        <v/>
      </c>
      <c r="M34" s="56"/>
      <c r="N34" s="56"/>
      <c r="O34" s="56"/>
      <c r="P34" s="57"/>
      <c r="Q34" s="55">
        <f t="shared" si="3"/>
        <v>0</v>
      </c>
      <c r="R34" s="56"/>
      <c r="S34" s="56"/>
      <c r="T34" s="56"/>
      <c r="U34" s="57"/>
      <c r="V34" s="58"/>
      <c r="W34" s="59"/>
      <c r="X34" s="59"/>
      <c r="Y34" s="59"/>
      <c r="Z34" s="60"/>
    </row>
    <row r="35" ht="21.75" customHeight="1">
      <c r="A35" s="50">
        <f t="shared" si="4"/>
        <v>46109</v>
      </c>
      <c r="B35" s="50"/>
      <c r="C35" s="50"/>
      <c r="D35" s="51" t="str">
        <f t="shared" si="1"/>
        <v>Sat</v>
      </c>
      <c r="E35" s="51"/>
      <c r="F35" s="52"/>
      <c r="G35" s="53"/>
      <c r="H35" s="53"/>
      <c r="I35" s="53"/>
      <c r="J35" s="53"/>
      <c r="K35" s="54"/>
      <c r="L35" s="55" t="str">
        <f t="shared" si="2"/>
        <v/>
      </c>
      <c r="M35" s="56"/>
      <c r="N35" s="56"/>
      <c r="O35" s="56"/>
      <c r="P35" s="57"/>
      <c r="Q35" s="55" t="str">
        <f t="shared" si="3"/>
        <v/>
      </c>
      <c r="R35" s="56"/>
      <c r="S35" s="56"/>
      <c r="T35" s="56"/>
      <c r="U35" s="57"/>
      <c r="V35" s="58" t="s">
        <v>22</v>
      </c>
      <c r="W35" s="59"/>
      <c r="X35" s="59"/>
      <c r="Y35" s="59"/>
      <c r="Z35" s="60"/>
      <c r="AC35" s="1" t="s">
        <v>27</v>
      </c>
    </row>
    <row r="36" ht="21.75" customHeight="1">
      <c r="A36" s="50">
        <f>IF(AND(E2=2,AC36=1),"--",A35+1)</f>
        <v>46110</v>
      </c>
      <c r="B36" s="50"/>
      <c r="C36" s="50"/>
      <c r="D36" s="51" t="str">
        <f t="shared" si="1"/>
        <v>Sun</v>
      </c>
      <c r="E36" s="51"/>
      <c r="F36" s="52"/>
      <c r="G36" s="53"/>
      <c r="H36" s="53"/>
      <c r="I36" s="53"/>
      <c r="J36" s="53"/>
      <c r="K36" s="54"/>
      <c r="L36" s="55" t="str">
        <f t="shared" si="2"/>
        <v/>
      </c>
      <c r="M36" s="56"/>
      <c r="N36" s="56"/>
      <c r="O36" s="56"/>
      <c r="P36" s="57"/>
      <c r="Q36" s="55" t="str">
        <f t="shared" si="3"/>
        <v/>
      </c>
      <c r="R36" s="56"/>
      <c r="S36" s="56"/>
      <c r="T36" s="56"/>
      <c r="U36" s="57"/>
      <c r="V36" s="58" t="s">
        <v>22</v>
      </c>
      <c r="W36" s="59"/>
      <c r="X36" s="59"/>
      <c r="Y36" s="59"/>
      <c r="Z36" s="60"/>
      <c r="AC36" s="1">
        <f>DAY(DATE(A2,2,29))</f>
        <v>1</v>
      </c>
    </row>
    <row r="37" ht="21.75" customHeight="1">
      <c r="A37" s="50">
        <f>IF(E2=2,"--",A36+1)</f>
        <v>46111</v>
      </c>
      <c r="B37" s="50"/>
      <c r="C37" s="50"/>
      <c r="D37" s="51" t="str">
        <f t="shared" si="1"/>
        <v>Mon</v>
      </c>
      <c r="E37" s="51"/>
      <c r="F37" s="52" t="s">
        <v>24</v>
      </c>
      <c r="G37" s="53"/>
      <c r="H37" s="53"/>
      <c r="I37" s="53"/>
      <c r="J37" s="53"/>
      <c r="K37" s="54"/>
      <c r="L37" s="55" t="str">
        <f t="shared" si="2"/>
        <v/>
      </c>
      <c r="M37" s="56"/>
      <c r="N37" s="56"/>
      <c r="O37" s="56"/>
      <c r="P37" s="57"/>
      <c r="Q37" s="55" t="str">
        <f t="shared" si="3"/>
        <v/>
      </c>
      <c r="R37" s="56"/>
      <c r="S37" s="56"/>
      <c r="T37" s="56"/>
      <c r="U37" s="57"/>
      <c r="V37" s="58" t="s">
        <v>25</v>
      </c>
      <c r="W37" s="59"/>
      <c r="X37" s="59"/>
      <c r="Y37" s="59"/>
      <c r="Z37" s="60"/>
    </row>
    <row r="38" ht="21.75" customHeight="1">
      <c r="A38" s="50">
        <f>IF(OR(E2=2,E2=4,E2=6,E2=9,E2=11),"--",A37+1)</f>
        <v>46112</v>
      </c>
      <c r="B38" s="50"/>
      <c r="C38" s="50"/>
      <c r="D38" s="51" t="str">
        <f>IF(A38="","",TEXT(A38,"aaa"))</f>
        <v>Tue</v>
      </c>
      <c r="E38" s="51"/>
      <c r="F38" s="52" t="s">
        <v>23</v>
      </c>
      <c r="G38" s="53"/>
      <c r="H38" s="53"/>
      <c r="I38" s="53"/>
      <c r="J38" s="53"/>
      <c r="K38" s="54"/>
      <c r="L38" s="55" t="str">
        <f t="shared" si="2"/>
        <v/>
      </c>
      <c r="M38" s="56"/>
      <c r="N38" s="56"/>
      <c r="O38" s="56"/>
      <c r="P38" s="57"/>
      <c r="Q38" s="55">
        <f t="shared" si="3"/>
        <v>0</v>
      </c>
      <c r="R38" s="56"/>
      <c r="S38" s="56"/>
      <c r="T38" s="56"/>
      <c r="U38" s="57"/>
      <c r="V38" s="58"/>
      <c r="W38" s="59"/>
      <c r="X38" s="59"/>
      <c r="Y38" s="59"/>
      <c r="Z38" s="60"/>
    </row>
    <row r="39" ht="21.75" customHeight="1">
      <c r="A39" s="61" t="s">
        <v>28</v>
      </c>
      <c r="B39" s="62"/>
      <c r="C39" s="62"/>
      <c r="D39" s="62"/>
      <c r="E39" s="63"/>
      <c r="F39" s="64" t="s">
        <v>26</v>
      </c>
      <c r="G39" s="65"/>
      <c r="H39" s="65"/>
      <c r="I39" s="65" t="s">
        <v>23</v>
      </c>
      <c r="J39" s="65"/>
      <c r="K39" s="66"/>
      <c r="L39" s="67">
        <f>IF(COUNTIF(L7,"定期"),IF(N7="","ー",N7),SUM(L8:L38))</f>
        <v>1700</v>
      </c>
      <c r="M39" s="68"/>
      <c r="N39" s="68"/>
      <c r="O39" s="68"/>
      <c r="P39" s="69"/>
      <c r="Q39" s="67" t="str">
        <f>IF(COUNTIF(Q7,"月額"),S7,SUM(Q8:Q38))&amp;"円(税抜)"</f>
        <v>0円(税抜)</v>
      </c>
      <c r="R39" s="68"/>
      <c r="S39" s="68"/>
      <c r="T39" s="68"/>
      <c r="U39" s="69"/>
      <c r="V39" s="70" t="s">
        <v>29</v>
      </c>
      <c r="W39" s="71"/>
      <c r="X39" s="71"/>
      <c r="Y39" s="71"/>
      <c r="Z39" s="72"/>
    </row>
    <row r="40" ht="21.75" customHeight="1">
      <c r="A40" s="73"/>
      <c r="B40" s="74"/>
      <c r="C40" s="74"/>
      <c r="D40" s="74"/>
      <c r="E40" s="75"/>
      <c r="F40" s="76">
        <f>COUNTIF(F8:K38,"*出勤*")</f>
        <v>5</v>
      </c>
      <c r="G40" s="77"/>
      <c r="H40" s="78"/>
      <c r="I40" s="79">
        <f>COUNTIF(F8:K38,I39)+(0.5*COUNTIF(F8:K38,"テレワーク+*"))+(0.5*COUNTIF(F8:K38,"テレワーク※*"))+0.5*(COUNTIF(F8:K38,"*+テレ"))</f>
        <v>11</v>
      </c>
      <c r="J40" s="80"/>
      <c r="K40" s="81"/>
      <c r="L40" s="82"/>
      <c r="M40" s="83"/>
      <c r="N40" s="83"/>
      <c r="O40" s="83"/>
      <c r="P40" s="84"/>
      <c r="Q40" s="82"/>
      <c r="R40" s="83"/>
      <c r="S40" s="83"/>
      <c r="T40" s="83"/>
      <c r="U40" s="84"/>
      <c r="V40" s="85"/>
      <c r="W40" s="86"/>
      <c r="X40" s="86"/>
      <c r="Y40" s="86"/>
      <c r="Z40" s="87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219">
    <mergeCell ref="A1:Z1"/>
    <mergeCell ref="A2:C2"/>
    <mergeCell ref="E2:F2"/>
    <mergeCell ref="L2:N2"/>
    <mergeCell ref="O2:Q2"/>
    <mergeCell ref="S2:V2"/>
    <mergeCell ref="W2:Z2"/>
    <mergeCell ref="A3:F3"/>
    <mergeCell ref="G3:H3"/>
    <mergeCell ref="I3:N3"/>
    <mergeCell ref="S3:V5"/>
    <mergeCell ref="W3:Z5"/>
    <mergeCell ref="D4:Q4"/>
    <mergeCell ref="D5:I5"/>
    <mergeCell ref="L5:Q5"/>
    <mergeCell ref="A6:C7"/>
    <mergeCell ref="D6:E7"/>
    <mergeCell ref="F6:K7"/>
    <mergeCell ref="L6:P6"/>
    <mergeCell ref="Q6:U6"/>
    <mergeCell ref="V6:Z7"/>
    <mergeCell ref="L7:M7"/>
    <mergeCell ref="N7:P7"/>
    <mergeCell ref="Q7:R7"/>
    <mergeCell ref="S7:U7"/>
    <mergeCell ref="A8:C8"/>
    <mergeCell ref="D8:E8"/>
    <mergeCell ref="F8:K8"/>
    <mergeCell ref="L8:P8"/>
    <mergeCell ref="Q8:U8"/>
    <mergeCell ref="V8:Z8"/>
    <mergeCell ref="A9:C9"/>
    <mergeCell ref="D9:E9"/>
    <mergeCell ref="F9:K9"/>
    <mergeCell ref="L9:P9"/>
    <mergeCell ref="Q9:U9"/>
    <mergeCell ref="V9:Z9"/>
    <mergeCell ref="A10:C10"/>
    <mergeCell ref="D10:E10"/>
    <mergeCell ref="F10:K10"/>
    <mergeCell ref="L10:P10"/>
    <mergeCell ref="Q10:U10"/>
    <mergeCell ref="V10:Z10"/>
    <mergeCell ref="A11:C11"/>
    <mergeCell ref="D11:E11"/>
    <mergeCell ref="F11:K11"/>
    <mergeCell ref="L11:P11"/>
    <mergeCell ref="Q11:U11"/>
    <mergeCell ref="V11:Z11"/>
    <mergeCell ref="A12:C12"/>
    <mergeCell ref="D12:E12"/>
    <mergeCell ref="F12:K12"/>
    <mergeCell ref="L12:P12"/>
    <mergeCell ref="Q12:U12"/>
    <mergeCell ref="V12:Z12"/>
    <mergeCell ref="A13:C13"/>
    <mergeCell ref="D13:E13"/>
    <mergeCell ref="F13:K13"/>
    <mergeCell ref="L13:P13"/>
    <mergeCell ref="Q13:U13"/>
    <mergeCell ref="V13:Z13"/>
    <mergeCell ref="A14:C14"/>
    <mergeCell ref="D14:E14"/>
    <mergeCell ref="F14:K14"/>
    <mergeCell ref="L14:P14"/>
    <mergeCell ref="Q14:U14"/>
    <mergeCell ref="V14:Z14"/>
    <mergeCell ref="A15:C15"/>
    <mergeCell ref="D15:E15"/>
    <mergeCell ref="F15:K15"/>
    <mergeCell ref="L15:P15"/>
    <mergeCell ref="Q15:U15"/>
    <mergeCell ref="V15:Z15"/>
    <mergeCell ref="A16:C16"/>
    <mergeCell ref="D16:E16"/>
    <mergeCell ref="F16:K16"/>
    <mergeCell ref="L16:P16"/>
    <mergeCell ref="Q16:U16"/>
    <mergeCell ref="V16:Z16"/>
    <mergeCell ref="A17:C17"/>
    <mergeCell ref="D17:E17"/>
    <mergeCell ref="F17:K17"/>
    <mergeCell ref="L17:P17"/>
    <mergeCell ref="Q17:U17"/>
    <mergeCell ref="V17:Z17"/>
    <mergeCell ref="A18:C18"/>
    <mergeCell ref="D18:E18"/>
    <mergeCell ref="F18:K18"/>
    <mergeCell ref="L18:P18"/>
    <mergeCell ref="Q18:U18"/>
    <mergeCell ref="V18:Z18"/>
    <mergeCell ref="A19:C19"/>
    <mergeCell ref="D19:E19"/>
    <mergeCell ref="F19:K19"/>
    <mergeCell ref="L19:P19"/>
    <mergeCell ref="Q19:U19"/>
    <mergeCell ref="V19:Z19"/>
    <mergeCell ref="A20:C20"/>
    <mergeCell ref="D20:E20"/>
    <mergeCell ref="F20:K20"/>
    <mergeCell ref="L20:P20"/>
    <mergeCell ref="Q20:U20"/>
    <mergeCell ref="V20:Z20"/>
    <mergeCell ref="A21:C21"/>
    <mergeCell ref="D21:E21"/>
    <mergeCell ref="F21:K21"/>
    <mergeCell ref="L21:P21"/>
    <mergeCell ref="Q21:U21"/>
    <mergeCell ref="V21:Z21"/>
    <mergeCell ref="A22:C22"/>
    <mergeCell ref="D22:E22"/>
    <mergeCell ref="F22:K22"/>
    <mergeCell ref="L22:P22"/>
    <mergeCell ref="Q22:U22"/>
    <mergeCell ref="V22:Z22"/>
    <mergeCell ref="A23:C23"/>
    <mergeCell ref="D23:E23"/>
    <mergeCell ref="F23:K23"/>
    <mergeCell ref="L23:P23"/>
    <mergeCell ref="Q23:U23"/>
    <mergeCell ref="V23:Z23"/>
    <mergeCell ref="A24:C24"/>
    <mergeCell ref="D24:E24"/>
    <mergeCell ref="F24:K24"/>
    <mergeCell ref="L24:P24"/>
    <mergeCell ref="Q24:U24"/>
    <mergeCell ref="V24:Z24"/>
    <mergeCell ref="A25:C25"/>
    <mergeCell ref="D25:E25"/>
    <mergeCell ref="F25:K25"/>
    <mergeCell ref="L25:P25"/>
    <mergeCell ref="Q25:U25"/>
    <mergeCell ref="V25:Z25"/>
    <mergeCell ref="A26:C26"/>
    <mergeCell ref="D26:E26"/>
    <mergeCell ref="F26:K26"/>
    <mergeCell ref="L26:P26"/>
    <mergeCell ref="Q26:U26"/>
    <mergeCell ref="V26:Z26"/>
    <mergeCell ref="A27:C27"/>
    <mergeCell ref="D27:E27"/>
    <mergeCell ref="F27:K27"/>
    <mergeCell ref="L27:P27"/>
    <mergeCell ref="Q27:U27"/>
    <mergeCell ref="V27:Z27"/>
    <mergeCell ref="A28:C28"/>
    <mergeCell ref="D28:E28"/>
    <mergeCell ref="F28:K28"/>
    <mergeCell ref="L28:P28"/>
    <mergeCell ref="Q28:U28"/>
    <mergeCell ref="V28:Z28"/>
    <mergeCell ref="A29:C29"/>
    <mergeCell ref="D29:E29"/>
    <mergeCell ref="F29:K29"/>
    <mergeCell ref="L29:P29"/>
    <mergeCell ref="Q29:U29"/>
    <mergeCell ref="V29:Z29"/>
    <mergeCell ref="A30:C30"/>
    <mergeCell ref="D30:E30"/>
    <mergeCell ref="F30:K30"/>
    <mergeCell ref="L30:P30"/>
    <mergeCell ref="Q30:U30"/>
    <mergeCell ref="V30:Z30"/>
    <mergeCell ref="A31:C31"/>
    <mergeCell ref="D31:E31"/>
    <mergeCell ref="F31:K31"/>
    <mergeCell ref="L31:P31"/>
    <mergeCell ref="Q31:U31"/>
    <mergeCell ref="V31:Z31"/>
    <mergeCell ref="A32:C32"/>
    <mergeCell ref="D32:E32"/>
    <mergeCell ref="F32:K32"/>
    <mergeCell ref="L32:P32"/>
    <mergeCell ref="Q32:U32"/>
    <mergeCell ref="V32:Z32"/>
    <mergeCell ref="A33:C33"/>
    <mergeCell ref="D33:E33"/>
    <mergeCell ref="F33:K33"/>
    <mergeCell ref="L33:P33"/>
    <mergeCell ref="Q33:U33"/>
    <mergeCell ref="V33:Z33"/>
    <mergeCell ref="A34:C34"/>
    <mergeCell ref="D34:E34"/>
    <mergeCell ref="F34:K34"/>
    <mergeCell ref="L34:P34"/>
    <mergeCell ref="Q34:U34"/>
    <mergeCell ref="V34:Z34"/>
    <mergeCell ref="A35:C35"/>
    <mergeCell ref="D35:E35"/>
    <mergeCell ref="F35:K35"/>
    <mergeCell ref="L35:P35"/>
    <mergeCell ref="Q35:U35"/>
    <mergeCell ref="V35:Z35"/>
    <mergeCell ref="A36:C36"/>
    <mergeCell ref="D36:E36"/>
    <mergeCell ref="F36:K36"/>
    <mergeCell ref="L36:P36"/>
    <mergeCell ref="Q36:U36"/>
    <mergeCell ref="V36:Z36"/>
    <mergeCell ref="A37:C37"/>
    <mergeCell ref="D37:E37"/>
    <mergeCell ref="F37:K37"/>
    <mergeCell ref="L37:P37"/>
    <mergeCell ref="Q37:U37"/>
    <mergeCell ref="V37:Z37"/>
    <mergeCell ref="A38:C38"/>
    <mergeCell ref="D38:E38"/>
    <mergeCell ref="F38:K38"/>
    <mergeCell ref="L38:P38"/>
    <mergeCell ref="Q38:U38"/>
    <mergeCell ref="V38:Z38"/>
    <mergeCell ref="A39:E40"/>
    <mergeCell ref="F39:H39"/>
    <mergeCell ref="I39:K39"/>
    <mergeCell ref="L39:P40"/>
    <mergeCell ref="Q39:U40"/>
    <mergeCell ref="V39:Z40"/>
    <mergeCell ref="F40:H40"/>
    <mergeCell ref="I40:K40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77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&amp;A</oddFooter>
  </headerFooter>
  <colBreaks count="1" manualBreakCount="1">
    <brk id="26" man="1" max="1048575"/>
  </colBreaks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FB0080-0077-4C45-AE0E-005600DF00E1}" type="list" allowBlank="1" errorStyle="stop" imeMode="noControl" operator="between" showDropDown="0" showErrorMessage="1" showInputMessage="1">
          <x14:formula1>
            <xm:f>"5,15,20,25,末"</xm:f>
          </x14:formula1>
          <xm:sqref>O2:Q2</xm:sqref>
        </x14:dataValidation>
        <x14:dataValidation xr:uid="{00890011-00BF-4AF7-BC9E-00F100210079}" type="list" allowBlank="1" errorStyle="stop" imeMode="noControl" operator="between" showDropDown="0" showErrorMessage="1" showInputMessage="1">
          <x14:formula1>
            <xm:f>"1,2,3,4,5,6,7,8,9,10,11,12"</xm:f>
          </x14:formula1>
          <xm:sqref>E2:F2</xm:sqref>
        </x14:dataValidation>
        <x14:dataValidation xr:uid="{004000CB-0076-4005-82AA-002D003E008A}" type="list" allowBlank="1" errorStyle="stop" imeMode="noControl" operator="between" showDropDown="0" showErrorMessage="1" showInputMessage="1">
          <x14:formula1>
            <xm:f>"日額,定期"</xm:f>
          </x14:formula1>
          <xm:sqref>L7:M7</xm:sqref>
        </x14:dataValidation>
        <x14:dataValidation xr:uid="{005E006F-0030-4A13-AE29-003B00510034}" type="list" allowBlank="1" errorStyle="stop" imeMode="noControl" operator="between" showDropDown="0" showErrorMessage="1" showInputMessage="1">
          <x14:formula1>
            <xm:f>"日額,月額"</xm:f>
          </x14:formula1>
          <xm:sqref>Q7:R7</xm:sqref>
        </x14:dataValidation>
        <x14:dataValidation xr:uid="{001400C1-00D6-4CA9-90C1-000D008A003E}" type="list" allowBlank="1" errorStyle="stop" imeMode="noControl" operator="between" showDropDown="0" showErrorMessage="1" showInputMessage="1">
          <x14:formula1>
            <xm:f>"出勤,出勤+半休,テレワーク,テレワーク※所定未満,テレワーク+出勤,テレワーク+半休,出張）通×,出張）通×+テレ,出張）通×+半休"</xm:f>
          </x14:formula1>
          <xm:sqref>F8:K38</xm:sqref>
        </x14:dataValidation>
        <x14:dataValidation xr:uid="{000A000B-0027-42B2-844E-00D800AC0091}" type="list" allowBlank="1" errorStyle="stop" imeMode="noControl" operator="between" showDropDown="0" showErrorMessage="1" showInputMessage="1">
          <x14:formula1>
            <xm:f>$AD$2:$AD$6</xm:f>
          </x14:formula1>
          <xm:sqref>A2:C2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4" zoomScale="100" workbookViewId="0">
      <selection activeCell="AA1" activeCellId="0" sqref="AA1"/>
    </sheetView>
  </sheetViews>
  <sheetFormatPr defaultColWidth="9" defaultRowHeight="18"/>
  <cols>
    <col customWidth="1" min="1" max="28" style="1" width="3.59765625"/>
    <col customWidth="1" hidden="1" min="29" max="29" style="1" width="10.19921875"/>
    <col customWidth="1" hidden="1" min="30" max="30" style="1" width="9"/>
    <col customWidth="1" min="31" max="34" style="1" width="3.59765625"/>
    <col min="35" max="16384" style="1" width="9"/>
  </cols>
  <sheetData>
    <row r="1" ht="32.39999999999999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C1" s="3" t="s">
        <v>1</v>
      </c>
      <c r="AD1" s="3" t="s">
        <v>2</v>
      </c>
    </row>
    <row r="2">
      <c r="A2" s="4">
        <v>2025</v>
      </c>
      <c r="B2" s="4"/>
      <c r="C2" s="4"/>
      <c r="D2" s="5" t="s">
        <v>3</v>
      </c>
      <c r="E2" s="4">
        <v>10</v>
      </c>
      <c r="F2" s="4"/>
      <c r="G2" s="5" t="s">
        <v>4</v>
      </c>
      <c r="L2" s="6" t="s">
        <v>5</v>
      </c>
      <c r="M2" s="7"/>
      <c r="N2" s="7"/>
      <c r="O2" s="8" t="s">
        <v>6</v>
      </c>
      <c r="P2" s="8"/>
      <c r="Q2" s="9"/>
      <c r="S2" s="10" t="s">
        <v>7</v>
      </c>
      <c r="T2" s="10"/>
      <c r="U2" s="10"/>
      <c r="V2" s="10"/>
      <c r="W2" s="10" t="s">
        <v>8</v>
      </c>
      <c r="X2" s="10"/>
      <c r="Y2" s="10"/>
      <c r="Z2" s="10"/>
      <c r="AC2" s="11">
        <f ca="1">$AC$4-730</f>
        <v>45382</v>
      </c>
      <c r="AD2" s="12">
        <f t="shared" ref="AD2:AD6" ca="1" si="5">YEAR(AC2)</f>
        <v>2024</v>
      </c>
    </row>
    <row r="3">
      <c r="A3" s="88">
        <f>A8</f>
        <v>45931</v>
      </c>
      <c r="B3" s="88"/>
      <c r="C3" s="88"/>
      <c r="D3" s="88"/>
      <c r="E3" s="88"/>
      <c r="F3" s="88"/>
      <c r="G3" s="14" t="s">
        <v>9</v>
      </c>
      <c r="H3" s="14"/>
      <c r="I3" s="16">
        <f>IF(A3="","",MAX(A8:A38))</f>
        <v>45961</v>
      </c>
      <c r="J3" s="16"/>
      <c r="K3" s="16"/>
      <c r="L3" s="16"/>
      <c r="M3" s="16"/>
      <c r="N3" s="16"/>
      <c r="O3" s="14"/>
      <c r="P3" s="14"/>
      <c r="Q3" s="16"/>
      <c r="R3" s="16"/>
      <c r="S3" s="89"/>
      <c r="T3" s="90"/>
      <c r="U3" s="90"/>
      <c r="V3" s="91"/>
      <c r="W3" s="89"/>
      <c r="X3" s="90"/>
      <c r="Y3" s="90"/>
      <c r="Z3" s="91"/>
      <c r="AC3" s="11">
        <f ca="1">$AC$4-365</f>
        <v>45747</v>
      </c>
      <c r="AD3" s="12">
        <f t="shared" ca="1" si="5"/>
        <v>2025</v>
      </c>
    </row>
    <row r="4" ht="30" customHeight="1">
      <c r="A4" s="20" t="s">
        <v>10</v>
      </c>
      <c r="B4" s="20"/>
      <c r="C4" s="20"/>
      <c r="D4" s="21" t="s">
        <v>30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89"/>
      <c r="T4" s="90"/>
      <c r="U4" s="90"/>
      <c r="V4" s="91"/>
      <c r="W4" s="89"/>
      <c r="X4" s="90"/>
      <c r="Y4" s="90"/>
      <c r="Z4" s="91"/>
      <c r="AC4" s="11">
        <f ca="1">TODAY()</f>
        <v>46112</v>
      </c>
      <c r="AD4" s="12">
        <f t="shared" ca="1" si="5"/>
        <v>2026</v>
      </c>
      <c r="AF4" s="26"/>
    </row>
    <row r="5" ht="30" customHeight="1">
      <c r="A5" s="27" t="s">
        <v>12</v>
      </c>
      <c r="B5" s="27"/>
      <c r="C5" s="27"/>
      <c r="D5" s="28" t="s">
        <v>31</v>
      </c>
      <c r="E5" s="28"/>
      <c r="F5" s="28"/>
      <c r="G5" s="28"/>
      <c r="H5" s="28"/>
      <c r="I5" s="28"/>
      <c r="J5" s="29" t="s">
        <v>13</v>
      </c>
      <c r="K5" s="29"/>
      <c r="L5" s="30" t="s">
        <v>32</v>
      </c>
      <c r="M5" s="30"/>
      <c r="N5" s="30"/>
      <c r="O5" s="30"/>
      <c r="P5" s="30"/>
      <c r="Q5" s="30"/>
      <c r="R5" s="22"/>
      <c r="S5" s="92"/>
      <c r="T5" s="93"/>
      <c r="U5" s="93"/>
      <c r="V5" s="94"/>
      <c r="W5" s="92"/>
      <c r="X5" s="93"/>
      <c r="Y5" s="93"/>
      <c r="Z5" s="94"/>
      <c r="AC5" s="11">
        <f ca="1">$AC$4+365</f>
        <v>46477</v>
      </c>
      <c r="AD5" s="12">
        <f t="shared" ca="1" si="5"/>
        <v>2027</v>
      </c>
    </row>
    <row r="6" ht="18.75" customHeight="1">
      <c r="A6" s="34" t="s">
        <v>15</v>
      </c>
      <c r="B6" s="35"/>
      <c r="C6" s="36"/>
      <c r="D6" s="37" t="s">
        <v>16</v>
      </c>
      <c r="E6" s="36"/>
      <c r="F6" s="34" t="s">
        <v>17</v>
      </c>
      <c r="G6" s="38"/>
      <c r="H6" s="38"/>
      <c r="I6" s="38"/>
      <c r="J6" s="38"/>
      <c r="K6" s="39"/>
      <c r="L6" s="34" t="s">
        <v>18</v>
      </c>
      <c r="M6" s="38"/>
      <c r="N6" s="38"/>
      <c r="O6" s="38"/>
      <c r="P6" s="39"/>
      <c r="Q6" s="34" t="s">
        <v>19</v>
      </c>
      <c r="R6" s="38"/>
      <c r="S6" s="38"/>
      <c r="T6" s="38"/>
      <c r="U6" s="39"/>
      <c r="V6" s="37" t="s">
        <v>20</v>
      </c>
      <c r="W6" s="35"/>
      <c r="X6" s="35"/>
      <c r="Y6" s="35"/>
      <c r="Z6" s="36"/>
      <c r="AC6" s="11">
        <f ca="1">$AC$4+730</f>
        <v>46842</v>
      </c>
      <c r="AD6" s="12">
        <f t="shared" ca="1" si="5"/>
        <v>2028</v>
      </c>
    </row>
    <row r="7">
      <c r="A7" s="40"/>
      <c r="B7" s="41"/>
      <c r="C7" s="42"/>
      <c r="D7" s="40"/>
      <c r="E7" s="42"/>
      <c r="F7" s="43"/>
      <c r="G7" s="44"/>
      <c r="H7" s="44"/>
      <c r="I7" s="44"/>
      <c r="J7" s="44"/>
      <c r="K7" s="45"/>
      <c r="L7" s="46" t="s">
        <v>21</v>
      </c>
      <c r="M7" s="47"/>
      <c r="N7" s="48">
        <v>0</v>
      </c>
      <c r="O7" s="48"/>
      <c r="P7" s="49"/>
      <c r="Q7" s="46" t="s">
        <v>21</v>
      </c>
      <c r="R7" s="47"/>
      <c r="S7" s="48">
        <v>0</v>
      </c>
      <c r="T7" s="48"/>
      <c r="U7" s="49"/>
      <c r="V7" s="40"/>
      <c r="W7" s="41"/>
      <c r="X7" s="41"/>
      <c r="Y7" s="41"/>
      <c r="Z7" s="42"/>
    </row>
    <row r="8" ht="21.75" customHeight="1">
      <c r="A8" s="50">
        <f>IF(O2="末",DATE(A2,E2,1),DATE(A2,E2,O2+1))</f>
        <v>45931</v>
      </c>
      <c r="B8" s="50"/>
      <c r="C8" s="50"/>
      <c r="D8" s="51" t="str">
        <f t="shared" ref="D8:D37" si="6">IF(A8="","",TEXT(A8,"aaa"))</f>
        <v>水</v>
      </c>
      <c r="E8" s="51"/>
      <c r="F8" s="52"/>
      <c r="G8" s="53"/>
      <c r="H8" s="53"/>
      <c r="I8" s="53"/>
      <c r="J8" s="53"/>
      <c r="K8" s="54"/>
      <c r="L8" s="55" t="str">
        <f t="shared" ref="L8:L38" si="7">IF(AND(COUNTIF(F8,"*出勤*"),$L$7="日額"),$N$7,"")</f>
        <v/>
      </c>
      <c r="M8" s="56"/>
      <c r="N8" s="56"/>
      <c r="O8" s="56"/>
      <c r="P8" s="57"/>
      <c r="Q8" s="55" t="str">
        <f t="shared" ref="Q8:Q38" si="8">IF(AND(COUNTIF(F8,"*テレ*"),$Q$7="日額"),$S$7,"")</f>
        <v/>
      </c>
      <c r="R8" s="56"/>
      <c r="S8" s="56"/>
      <c r="T8" s="56"/>
      <c r="U8" s="57"/>
      <c r="V8" s="58" t="s">
        <v>22</v>
      </c>
      <c r="W8" s="59"/>
      <c r="X8" s="59"/>
      <c r="Y8" s="59"/>
      <c r="Z8" s="60"/>
    </row>
    <row r="9" ht="21.75" customHeight="1">
      <c r="A9" s="50">
        <f t="shared" ref="A9:A35" si="9">A8+1</f>
        <v>45932</v>
      </c>
      <c r="B9" s="50"/>
      <c r="C9" s="50"/>
      <c r="D9" s="51" t="str">
        <f t="shared" si="6"/>
        <v>木</v>
      </c>
      <c r="E9" s="51"/>
      <c r="F9" s="52"/>
      <c r="G9" s="53"/>
      <c r="H9" s="53"/>
      <c r="I9" s="53"/>
      <c r="J9" s="53"/>
      <c r="K9" s="54"/>
      <c r="L9" s="55" t="str">
        <f t="shared" si="7"/>
        <v/>
      </c>
      <c r="M9" s="56"/>
      <c r="N9" s="56"/>
      <c r="O9" s="56"/>
      <c r="P9" s="57"/>
      <c r="Q9" s="55" t="str">
        <f t="shared" si="8"/>
        <v/>
      </c>
      <c r="R9" s="56"/>
      <c r="S9" s="56"/>
      <c r="T9" s="56"/>
      <c r="U9" s="57"/>
      <c r="V9" s="58" t="s">
        <v>22</v>
      </c>
      <c r="W9" s="59"/>
      <c r="X9" s="59"/>
      <c r="Y9" s="59"/>
      <c r="Z9" s="60"/>
    </row>
    <row r="10" ht="21.75" customHeight="1">
      <c r="A10" s="50">
        <f t="shared" si="9"/>
        <v>45933</v>
      </c>
      <c r="B10" s="50"/>
      <c r="C10" s="50"/>
      <c r="D10" s="51" t="str">
        <f t="shared" si="6"/>
        <v>金</v>
      </c>
      <c r="E10" s="51"/>
      <c r="F10" s="52"/>
      <c r="G10" s="53"/>
      <c r="H10" s="53"/>
      <c r="I10" s="53"/>
      <c r="J10" s="53"/>
      <c r="K10" s="54"/>
      <c r="L10" s="55" t="str">
        <f t="shared" si="7"/>
        <v/>
      </c>
      <c r="M10" s="56"/>
      <c r="N10" s="56"/>
      <c r="O10" s="56"/>
      <c r="P10" s="57"/>
      <c r="Q10" s="55" t="str">
        <f t="shared" si="8"/>
        <v/>
      </c>
      <c r="R10" s="56"/>
      <c r="S10" s="56"/>
      <c r="T10" s="56"/>
      <c r="U10" s="57"/>
      <c r="V10" s="58" t="s">
        <v>33</v>
      </c>
      <c r="W10" s="59"/>
      <c r="X10" s="59"/>
      <c r="Y10" s="59"/>
      <c r="Z10" s="60"/>
    </row>
    <row r="11" ht="21.75" customHeight="1">
      <c r="A11" s="50">
        <f t="shared" si="9"/>
        <v>45934</v>
      </c>
      <c r="B11" s="50"/>
      <c r="C11" s="50"/>
      <c r="D11" s="51" t="str">
        <f t="shared" si="6"/>
        <v>土</v>
      </c>
      <c r="E11" s="51"/>
      <c r="F11" s="52" t="s">
        <v>26</v>
      </c>
      <c r="G11" s="53"/>
      <c r="H11" s="53"/>
      <c r="I11" s="53"/>
      <c r="J11" s="53"/>
      <c r="K11" s="54"/>
      <c r="L11" s="55">
        <f t="shared" si="7"/>
        <v>0</v>
      </c>
      <c r="M11" s="56"/>
      <c r="N11" s="56"/>
      <c r="O11" s="56"/>
      <c r="P11" s="57"/>
      <c r="Q11" s="55" t="str">
        <f t="shared" si="8"/>
        <v/>
      </c>
      <c r="R11" s="56"/>
      <c r="S11" s="56"/>
      <c r="T11" s="56"/>
      <c r="U11" s="57"/>
      <c r="V11" s="58"/>
      <c r="W11" s="59"/>
      <c r="X11" s="59"/>
      <c r="Y11" s="59"/>
      <c r="Z11" s="60"/>
    </row>
    <row r="12" ht="21.75" customHeight="1">
      <c r="A12" s="50">
        <f t="shared" si="9"/>
        <v>45935</v>
      </c>
      <c r="B12" s="50"/>
      <c r="C12" s="50"/>
      <c r="D12" s="51" t="str">
        <f t="shared" si="6"/>
        <v>日</v>
      </c>
      <c r="E12" s="51"/>
      <c r="F12" s="52" t="s">
        <v>26</v>
      </c>
      <c r="G12" s="53"/>
      <c r="H12" s="53"/>
      <c r="I12" s="53"/>
      <c r="J12" s="53"/>
      <c r="K12" s="54"/>
      <c r="L12" s="55">
        <f t="shared" si="7"/>
        <v>0</v>
      </c>
      <c r="M12" s="56"/>
      <c r="N12" s="56"/>
      <c r="O12" s="56"/>
      <c r="P12" s="57"/>
      <c r="Q12" s="55" t="str">
        <f t="shared" si="8"/>
        <v/>
      </c>
      <c r="R12" s="56"/>
      <c r="S12" s="56"/>
      <c r="T12" s="56"/>
      <c r="U12" s="57"/>
      <c r="V12" s="58"/>
      <c r="W12" s="59"/>
      <c r="X12" s="59"/>
      <c r="Y12" s="59"/>
      <c r="Z12" s="60"/>
    </row>
    <row r="13" ht="21.75" customHeight="1">
      <c r="A13" s="50">
        <f t="shared" si="9"/>
        <v>45936</v>
      </c>
      <c r="B13" s="50"/>
      <c r="C13" s="50"/>
      <c r="D13" s="51" t="str">
        <f t="shared" si="6"/>
        <v>月</v>
      </c>
      <c r="E13" s="51"/>
      <c r="F13" s="52" t="s">
        <v>34</v>
      </c>
      <c r="G13" s="53"/>
      <c r="H13" s="53"/>
      <c r="I13" s="53"/>
      <c r="J13" s="53"/>
      <c r="K13" s="54"/>
      <c r="L13" s="55">
        <f t="shared" si="7"/>
        <v>0</v>
      </c>
      <c r="M13" s="56"/>
      <c r="N13" s="56"/>
      <c r="O13" s="56"/>
      <c r="P13" s="57"/>
      <c r="Q13" s="55" t="str">
        <f t="shared" si="8"/>
        <v/>
      </c>
      <c r="R13" s="56"/>
      <c r="S13" s="56"/>
      <c r="T13" s="56"/>
      <c r="U13" s="57"/>
      <c r="V13" s="58" t="s">
        <v>35</v>
      </c>
      <c r="W13" s="59"/>
      <c r="X13" s="59"/>
      <c r="Y13" s="59"/>
      <c r="Z13" s="60"/>
    </row>
    <row r="14" ht="21.75" customHeight="1">
      <c r="A14" s="50">
        <f t="shared" si="9"/>
        <v>45937</v>
      </c>
      <c r="B14" s="50"/>
      <c r="C14" s="50"/>
      <c r="D14" s="51" t="str">
        <f t="shared" si="6"/>
        <v>火</v>
      </c>
      <c r="E14" s="51"/>
      <c r="F14" s="52" t="s">
        <v>23</v>
      </c>
      <c r="G14" s="53"/>
      <c r="H14" s="53"/>
      <c r="I14" s="53"/>
      <c r="J14" s="53"/>
      <c r="K14" s="54"/>
      <c r="L14" s="55" t="str">
        <f t="shared" si="7"/>
        <v/>
      </c>
      <c r="M14" s="56"/>
      <c r="N14" s="56"/>
      <c r="O14" s="56"/>
      <c r="P14" s="57"/>
      <c r="Q14" s="55">
        <f t="shared" si="8"/>
        <v>0</v>
      </c>
      <c r="R14" s="56"/>
      <c r="S14" s="56"/>
      <c r="T14" s="56"/>
      <c r="U14" s="57"/>
      <c r="V14" s="58"/>
      <c r="W14" s="59"/>
      <c r="X14" s="59"/>
      <c r="Y14" s="59"/>
      <c r="Z14" s="60"/>
    </row>
    <row r="15" ht="21.75" customHeight="1">
      <c r="A15" s="50">
        <f t="shared" si="9"/>
        <v>45938</v>
      </c>
      <c r="B15" s="50"/>
      <c r="C15" s="50"/>
      <c r="D15" s="51" t="str">
        <f t="shared" si="6"/>
        <v>水</v>
      </c>
      <c r="E15" s="51"/>
      <c r="F15" s="52"/>
      <c r="G15" s="53"/>
      <c r="H15" s="53"/>
      <c r="I15" s="53"/>
      <c r="J15" s="53"/>
      <c r="K15" s="54"/>
      <c r="L15" s="55" t="str">
        <f t="shared" si="7"/>
        <v/>
      </c>
      <c r="M15" s="56"/>
      <c r="N15" s="56"/>
      <c r="O15" s="56"/>
      <c r="P15" s="57"/>
      <c r="Q15" s="55" t="str">
        <f t="shared" si="8"/>
        <v/>
      </c>
      <c r="R15" s="56"/>
      <c r="S15" s="56"/>
      <c r="T15" s="56"/>
      <c r="U15" s="57"/>
      <c r="V15" s="58" t="s">
        <v>22</v>
      </c>
      <c r="W15" s="59"/>
      <c r="X15" s="59"/>
      <c r="Y15" s="59"/>
      <c r="Z15" s="60"/>
    </row>
    <row r="16" ht="21.75" customHeight="1">
      <c r="A16" s="50">
        <f t="shared" si="9"/>
        <v>45939</v>
      </c>
      <c r="B16" s="50"/>
      <c r="C16" s="50"/>
      <c r="D16" s="51" t="str">
        <f t="shared" si="6"/>
        <v>木</v>
      </c>
      <c r="E16" s="51"/>
      <c r="F16" s="52"/>
      <c r="G16" s="53"/>
      <c r="H16" s="53"/>
      <c r="I16" s="53"/>
      <c r="J16" s="53"/>
      <c r="K16" s="54"/>
      <c r="L16" s="55" t="str">
        <f t="shared" si="7"/>
        <v/>
      </c>
      <c r="M16" s="56"/>
      <c r="N16" s="56"/>
      <c r="O16" s="56"/>
      <c r="P16" s="57"/>
      <c r="Q16" s="55" t="str">
        <f t="shared" si="8"/>
        <v/>
      </c>
      <c r="R16" s="56"/>
      <c r="S16" s="56"/>
      <c r="T16" s="56"/>
      <c r="U16" s="57"/>
      <c r="V16" s="58" t="s">
        <v>22</v>
      </c>
      <c r="W16" s="59"/>
      <c r="X16" s="59"/>
      <c r="Y16" s="59"/>
      <c r="Z16" s="60"/>
    </row>
    <row r="17" ht="21.75" customHeight="1">
      <c r="A17" s="50">
        <f t="shared" si="9"/>
        <v>45940</v>
      </c>
      <c r="B17" s="50"/>
      <c r="C17" s="50"/>
      <c r="D17" s="51" t="str">
        <f t="shared" si="6"/>
        <v>金</v>
      </c>
      <c r="E17" s="51"/>
      <c r="F17" s="52"/>
      <c r="G17" s="53"/>
      <c r="H17" s="53"/>
      <c r="I17" s="53"/>
      <c r="J17" s="53"/>
      <c r="K17" s="54"/>
      <c r="L17" s="55" t="str">
        <f t="shared" si="7"/>
        <v/>
      </c>
      <c r="M17" s="56"/>
      <c r="N17" s="56"/>
      <c r="O17" s="56"/>
      <c r="P17" s="57"/>
      <c r="Q17" s="55" t="str">
        <f t="shared" si="8"/>
        <v/>
      </c>
      <c r="R17" s="56"/>
      <c r="S17" s="56"/>
      <c r="T17" s="56"/>
      <c r="U17" s="57"/>
      <c r="V17" s="58" t="s">
        <v>22</v>
      </c>
      <c r="W17" s="59"/>
      <c r="X17" s="59"/>
      <c r="Y17" s="59"/>
      <c r="Z17" s="60"/>
    </row>
    <row r="18" ht="21.75" customHeight="1">
      <c r="A18" s="50">
        <f t="shared" si="9"/>
        <v>45941</v>
      </c>
      <c r="B18" s="50"/>
      <c r="C18" s="50"/>
      <c r="D18" s="51" t="str">
        <f t="shared" si="6"/>
        <v>土</v>
      </c>
      <c r="E18" s="51"/>
      <c r="F18" s="52" t="s">
        <v>36</v>
      </c>
      <c r="G18" s="53"/>
      <c r="H18" s="53"/>
      <c r="I18" s="53"/>
      <c r="J18" s="53"/>
      <c r="K18" s="54"/>
      <c r="L18" s="55" t="str">
        <f t="shared" si="7"/>
        <v/>
      </c>
      <c r="M18" s="56"/>
      <c r="N18" s="56"/>
      <c r="O18" s="56"/>
      <c r="P18" s="57"/>
      <c r="Q18" s="55">
        <f t="shared" si="8"/>
        <v>0</v>
      </c>
      <c r="R18" s="56"/>
      <c r="S18" s="56"/>
      <c r="T18" s="56"/>
      <c r="U18" s="57"/>
      <c r="V18" s="58" t="s">
        <v>37</v>
      </c>
      <c r="W18" s="59"/>
      <c r="X18" s="59"/>
      <c r="Y18" s="59"/>
      <c r="Z18" s="60"/>
    </row>
    <row r="19" ht="21.75" customHeight="1">
      <c r="A19" s="50">
        <f t="shared" si="9"/>
        <v>45942</v>
      </c>
      <c r="B19" s="50"/>
      <c r="C19" s="50"/>
      <c r="D19" s="51" t="str">
        <f t="shared" si="6"/>
        <v>日</v>
      </c>
      <c r="E19" s="51"/>
      <c r="F19" s="52" t="s">
        <v>38</v>
      </c>
      <c r="G19" s="53"/>
      <c r="H19" s="53"/>
      <c r="I19" s="53"/>
      <c r="J19" s="53"/>
      <c r="K19" s="54"/>
      <c r="L19" s="55">
        <f t="shared" si="7"/>
        <v>0</v>
      </c>
      <c r="M19" s="56"/>
      <c r="N19" s="56"/>
      <c r="O19" s="56"/>
      <c r="P19" s="57"/>
      <c r="Q19" s="55">
        <f t="shared" si="8"/>
        <v>0</v>
      </c>
      <c r="R19" s="56"/>
      <c r="S19" s="56"/>
      <c r="T19" s="56"/>
      <c r="U19" s="57"/>
      <c r="V19" s="58" t="s">
        <v>39</v>
      </c>
      <c r="W19" s="59"/>
      <c r="X19" s="59"/>
      <c r="Y19" s="59"/>
      <c r="Z19" s="60"/>
    </row>
    <row r="20" ht="21.75" customHeight="1">
      <c r="A20" s="50">
        <f t="shared" si="9"/>
        <v>45943</v>
      </c>
      <c r="B20" s="50"/>
      <c r="C20" s="50"/>
      <c r="D20" s="51" t="str">
        <f t="shared" si="6"/>
        <v>月</v>
      </c>
      <c r="E20" s="51"/>
      <c r="F20" s="52" t="s">
        <v>40</v>
      </c>
      <c r="G20" s="53"/>
      <c r="H20" s="53"/>
      <c r="I20" s="53"/>
      <c r="J20" s="53"/>
      <c r="K20" s="54"/>
      <c r="L20" s="55" t="str">
        <f t="shared" si="7"/>
        <v/>
      </c>
      <c r="M20" s="56"/>
      <c r="N20" s="56"/>
      <c r="O20" s="56"/>
      <c r="P20" s="57"/>
      <c r="Q20" s="55">
        <f t="shared" si="8"/>
        <v>0</v>
      </c>
      <c r="R20" s="56"/>
      <c r="S20" s="56"/>
      <c r="T20" s="56"/>
      <c r="U20" s="57"/>
      <c r="V20" s="58" t="s">
        <v>35</v>
      </c>
      <c r="W20" s="59"/>
      <c r="X20" s="59"/>
      <c r="Y20" s="59"/>
      <c r="Z20" s="60"/>
    </row>
    <row r="21" ht="21.75" customHeight="1">
      <c r="A21" s="50">
        <f t="shared" si="9"/>
        <v>45944</v>
      </c>
      <c r="B21" s="50"/>
      <c r="C21" s="50"/>
      <c r="D21" s="51" t="str">
        <f t="shared" si="6"/>
        <v>火</v>
      </c>
      <c r="E21" s="51"/>
      <c r="F21" s="52" t="s">
        <v>26</v>
      </c>
      <c r="G21" s="53"/>
      <c r="H21" s="53"/>
      <c r="I21" s="53"/>
      <c r="J21" s="53"/>
      <c r="K21" s="54"/>
      <c r="L21" s="55">
        <f t="shared" si="7"/>
        <v>0</v>
      </c>
      <c r="M21" s="56"/>
      <c r="N21" s="56"/>
      <c r="O21" s="56"/>
      <c r="P21" s="57"/>
      <c r="Q21" s="55" t="str">
        <f t="shared" si="8"/>
        <v/>
      </c>
      <c r="R21" s="56"/>
      <c r="S21" s="56"/>
      <c r="T21" s="56"/>
      <c r="U21" s="57"/>
      <c r="V21" s="58"/>
      <c r="W21" s="59"/>
      <c r="X21" s="59"/>
      <c r="Y21" s="59"/>
      <c r="Z21" s="60"/>
    </row>
    <row r="22" ht="21.75" customHeight="1">
      <c r="A22" s="50">
        <f t="shared" si="9"/>
        <v>45945</v>
      </c>
      <c r="B22" s="50"/>
      <c r="C22" s="50"/>
      <c r="D22" s="51" t="str">
        <f t="shared" si="6"/>
        <v>水</v>
      </c>
      <c r="E22" s="51"/>
      <c r="F22" s="52"/>
      <c r="G22" s="53"/>
      <c r="H22" s="53"/>
      <c r="I22" s="53"/>
      <c r="J22" s="53"/>
      <c r="K22" s="54"/>
      <c r="L22" s="55" t="str">
        <f t="shared" si="7"/>
        <v/>
      </c>
      <c r="M22" s="56"/>
      <c r="N22" s="56"/>
      <c r="O22" s="56"/>
      <c r="P22" s="57"/>
      <c r="Q22" s="55" t="str">
        <f t="shared" si="8"/>
        <v/>
      </c>
      <c r="R22" s="56"/>
      <c r="S22" s="56"/>
      <c r="T22" s="56"/>
      <c r="U22" s="57"/>
      <c r="V22" s="58" t="s">
        <v>22</v>
      </c>
      <c r="W22" s="59"/>
      <c r="X22" s="59"/>
      <c r="Y22" s="59"/>
      <c r="Z22" s="60"/>
    </row>
    <row r="23" ht="21.75" customHeight="1">
      <c r="A23" s="50">
        <f t="shared" si="9"/>
        <v>45946</v>
      </c>
      <c r="B23" s="50"/>
      <c r="C23" s="50"/>
      <c r="D23" s="51" t="str">
        <f t="shared" si="6"/>
        <v>木</v>
      </c>
      <c r="E23" s="51"/>
      <c r="F23" s="52"/>
      <c r="G23" s="53"/>
      <c r="H23" s="53"/>
      <c r="I23" s="53"/>
      <c r="J23" s="53"/>
      <c r="K23" s="54"/>
      <c r="L23" s="55" t="str">
        <f t="shared" si="7"/>
        <v/>
      </c>
      <c r="M23" s="56"/>
      <c r="N23" s="56"/>
      <c r="O23" s="56"/>
      <c r="P23" s="57"/>
      <c r="Q23" s="55" t="str">
        <f t="shared" si="8"/>
        <v/>
      </c>
      <c r="R23" s="56"/>
      <c r="S23" s="56"/>
      <c r="T23" s="56"/>
      <c r="U23" s="57"/>
      <c r="V23" s="58" t="s">
        <v>22</v>
      </c>
      <c r="W23" s="59"/>
      <c r="X23" s="59"/>
      <c r="Y23" s="59"/>
      <c r="Z23" s="60"/>
    </row>
    <row r="24" ht="21.75" customHeight="1">
      <c r="A24" s="50">
        <f t="shared" si="9"/>
        <v>45947</v>
      </c>
      <c r="B24" s="50"/>
      <c r="C24" s="50"/>
      <c r="D24" s="51" t="str">
        <f t="shared" si="6"/>
        <v>金</v>
      </c>
      <c r="E24" s="51"/>
      <c r="F24" s="52" t="s">
        <v>41</v>
      </c>
      <c r="G24" s="53"/>
      <c r="H24" s="53"/>
      <c r="I24" s="53"/>
      <c r="J24" s="53"/>
      <c r="K24" s="54"/>
      <c r="L24" s="55" t="str">
        <f t="shared" si="7"/>
        <v/>
      </c>
      <c r="M24" s="56"/>
      <c r="N24" s="56"/>
      <c r="O24" s="56"/>
      <c r="P24" s="57"/>
      <c r="Q24" s="55" t="str">
        <f t="shared" si="8"/>
        <v/>
      </c>
      <c r="R24" s="56"/>
      <c r="S24" s="56"/>
      <c r="T24" s="56"/>
      <c r="U24" s="57"/>
      <c r="V24" s="58" t="s">
        <v>42</v>
      </c>
      <c r="W24" s="59"/>
      <c r="X24" s="59"/>
      <c r="Y24" s="59"/>
      <c r="Z24" s="60"/>
    </row>
    <row r="25" ht="21.75" customHeight="1">
      <c r="A25" s="50">
        <f t="shared" si="9"/>
        <v>45948</v>
      </c>
      <c r="B25" s="50"/>
      <c r="C25" s="50"/>
      <c r="D25" s="51" t="str">
        <f t="shared" si="6"/>
        <v>土</v>
      </c>
      <c r="E25" s="51"/>
      <c r="F25" s="52" t="s">
        <v>24</v>
      </c>
      <c r="G25" s="53"/>
      <c r="H25" s="53"/>
      <c r="I25" s="53"/>
      <c r="J25" s="53"/>
      <c r="K25" s="54"/>
      <c r="L25" s="55" t="str">
        <f t="shared" si="7"/>
        <v/>
      </c>
      <c r="M25" s="56"/>
      <c r="N25" s="56"/>
      <c r="O25" s="56"/>
      <c r="P25" s="57"/>
      <c r="Q25" s="55" t="str">
        <f t="shared" si="8"/>
        <v/>
      </c>
      <c r="R25" s="56"/>
      <c r="S25" s="56"/>
      <c r="T25" s="56"/>
      <c r="U25" s="57"/>
      <c r="V25" s="58" t="s">
        <v>43</v>
      </c>
      <c r="W25" s="59"/>
      <c r="X25" s="59"/>
      <c r="Y25" s="59"/>
      <c r="Z25" s="60"/>
    </row>
    <row r="26" ht="21.75" customHeight="1">
      <c r="A26" s="50">
        <f t="shared" si="9"/>
        <v>45949</v>
      </c>
      <c r="B26" s="50"/>
      <c r="C26" s="50"/>
      <c r="D26" s="51" t="str">
        <f t="shared" si="6"/>
        <v>日</v>
      </c>
      <c r="E26" s="51"/>
      <c r="F26" s="52" t="s">
        <v>44</v>
      </c>
      <c r="G26" s="53"/>
      <c r="H26" s="53"/>
      <c r="I26" s="53"/>
      <c r="J26" s="53"/>
      <c r="K26" s="54"/>
      <c r="L26" s="55" t="str">
        <f t="shared" si="7"/>
        <v/>
      </c>
      <c r="M26" s="56"/>
      <c r="N26" s="56"/>
      <c r="O26" s="56"/>
      <c r="P26" s="57"/>
      <c r="Q26" s="55">
        <f t="shared" si="8"/>
        <v>0</v>
      </c>
      <c r="R26" s="56"/>
      <c r="S26" s="56"/>
      <c r="T26" s="56"/>
      <c r="U26" s="57"/>
      <c r="V26" s="58" t="s">
        <v>45</v>
      </c>
      <c r="W26" s="59"/>
      <c r="X26" s="59"/>
      <c r="Y26" s="59"/>
      <c r="Z26" s="60"/>
    </row>
    <row r="27" ht="21.75" customHeight="1">
      <c r="A27" s="50">
        <f t="shared" si="9"/>
        <v>45950</v>
      </c>
      <c r="B27" s="50"/>
      <c r="C27" s="50"/>
      <c r="D27" s="51" t="str">
        <f t="shared" si="6"/>
        <v>月</v>
      </c>
      <c r="E27" s="51"/>
      <c r="F27" s="52" t="s">
        <v>23</v>
      </c>
      <c r="G27" s="53"/>
      <c r="H27" s="53"/>
      <c r="I27" s="53"/>
      <c r="J27" s="53"/>
      <c r="K27" s="54"/>
      <c r="L27" s="55" t="str">
        <f t="shared" si="7"/>
        <v/>
      </c>
      <c r="M27" s="56"/>
      <c r="N27" s="56"/>
      <c r="O27" s="56"/>
      <c r="P27" s="57"/>
      <c r="Q27" s="55">
        <f t="shared" si="8"/>
        <v>0</v>
      </c>
      <c r="R27" s="56"/>
      <c r="S27" s="56"/>
      <c r="T27" s="56"/>
      <c r="U27" s="57"/>
      <c r="V27" s="58"/>
      <c r="W27" s="59"/>
      <c r="X27" s="59"/>
      <c r="Y27" s="59"/>
      <c r="Z27" s="60"/>
    </row>
    <row r="28" ht="21.75" customHeight="1">
      <c r="A28" s="50">
        <f t="shared" si="9"/>
        <v>45951</v>
      </c>
      <c r="B28" s="50"/>
      <c r="C28" s="50"/>
      <c r="D28" s="51" t="str">
        <f t="shared" si="6"/>
        <v>火</v>
      </c>
      <c r="E28" s="51"/>
      <c r="F28" s="52" t="s">
        <v>23</v>
      </c>
      <c r="G28" s="53"/>
      <c r="H28" s="53"/>
      <c r="I28" s="53"/>
      <c r="J28" s="53"/>
      <c r="K28" s="54"/>
      <c r="L28" s="55" t="str">
        <f t="shared" si="7"/>
        <v/>
      </c>
      <c r="M28" s="56"/>
      <c r="N28" s="56"/>
      <c r="O28" s="56"/>
      <c r="P28" s="57"/>
      <c r="Q28" s="55">
        <f t="shared" si="8"/>
        <v>0</v>
      </c>
      <c r="R28" s="56"/>
      <c r="S28" s="56"/>
      <c r="T28" s="56"/>
      <c r="U28" s="57"/>
      <c r="V28" s="58"/>
      <c r="W28" s="59"/>
      <c r="X28" s="59"/>
      <c r="Y28" s="59"/>
      <c r="Z28" s="60"/>
    </row>
    <row r="29" ht="21.75" customHeight="1">
      <c r="A29" s="50">
        <f t="shared" si="9"/>
        <v>45952</v>
      </c>
      <c r="B29" s="50"/>
      <c r="C29" s="50"/>
      <c r="D29" s="51" t="str">
        <f t="shared" si="6"/>
        <v>水</v>
      </c>
      <c r="E29" s="51"/>
      <c r="F29" s="52"/>
      <c r="G29" s="53"/>
      <c r="H29" s="53"/>
      <c r="I29" s="53"/>
      <c r="J29" s="53"/>
      <c r="K29" s="54"/>
      <c r="L29" s="55" t="str">
        <f t="shared" si="7"/>
        <v/>
      </c>
      <c r="M29" s="56"/>
      <c r="N29" s="56"/>
      <c r="O29" s="56"/>
      <c r="P29" s="57"/>
      <c r="Q29" s="55" t="str">
        <f t="shared" si="8"/>
        <v/>
      </c>
      <c r="R29" s="56"/>
      <c r="S29" s="56"/>
      <c r="T29" s="56"/>
      <c r="U29" s="57"/>
      <c r="V29" s="58" t="s">
        <v>22</v>
      </c>
      <c r="W29" s="59"/>
      <c r="X29" s="59"/>
      <c r="Y29" s="59"/>
      <c r="Z29" s="60"/>
    </row>
    <row r="30" ht="21.75" customHeight="1">
      <c r="A30" s="50">
        <f t="shared" si="9"/>
        <v>45953</v>
      </c>
      <c r="B30" s="50"/>
      <c r="C30" s="50"/>
      <c r="D30" s="51" t="str">
        <f t="shared" si="6"/>
        <v>木</v>
      </c>
      <c r="E30" s="51"/>
      <c r="F30" s="52"/>
      <c r="G30" s="53"/>
      <c r="H30" s="53"/>
      <c r="I30" s="53"/>
      <c r="J30" s="53"/>
      <c r="K30" s="54"/>
      <c r="L30" s="55" t="str">
        <f t="shared" si="7"/>
        <v/>
      </c>
      <c r="M30" s="56"/>
      <c r="N30" s="56"/>
      <c r="O30" s="56"/>
      <c r="P30" s="57"/>
      <c r="Q30" s="55" t="str">
        <f t="shared" si="8"/>
        <v/>
      </c>
      <c r="R30" s="56"/>
      <c r="S30" s="56"/>
      <c r="T30" s="56"/>
      <c r="U30" s="57"/>
      <c r="V30" s="58" t="s">
        <v>22</v>
      </c>
      <c r="W30" s="59"/>
      <c r="X30" s="59"/>
      <c r="Y30" s="59"/>
      <c r="Z30" s="60"/>
    </row>
    <row r="31" ht="21.75" customHeight="1">
      <c r="A31" s="50">
        <f t="shared" si="9"/>
        <v>45954</v>
      </c>
      <c r="B31" s="50"/>
      <c r="C31" s="50"/>
      <c r="D31" s="51" t="str">
        <f t="shared" si="6"/>
        <v>金</v>
      </c>
      <c r="E31" s="51"/>
      <c r="F31" s="52" t="s">
        <v>23</v>
      </c>
      <c r="G31" s="53"/>
      <c r="H31" s="53"/>
      <c r="I31" s="53"/>
      <c r="J31" s="53"/>
      <c r="K31" s="54"/>
      <c r="L31" s="55" t="str">
        <f t="shared" si="7"/>
        <v/>
      </c>
      <c r="M31" s="56"/>
      <c r="N31" s="56"/>
      <c r="O31" s="56"/>
      <c r="P31" s="57"/>
      <c r="Q31" s="55">
        <f t="shared" si="8"/>
        <v>0</v>
      </c>
      <c r="R31" s="56"/>
      <c r="S31" s="56"/>
      <c r="T31" s="56"/>
      <c r="U31" s="57"/>
      <c r="V31" s="58"/>
      <c r="W31" s="59"/>
      <c r="X31" s="59"/>
      <c r="Y31" s="59"/>
      <c r="Z31" s="60"/>
    </row>
    <row r="32" ht="21.75" customHeight="1">
      <c r="A32" s="50">
        <f t="shared" si="9"/>
        <v>45955</v>
      </c>
      <c r="B32" s="50"/>
      <c r="C32" s="50"/>
      <c r="D32" s="51" t="str">
        <f t="shared" si="6"/>
        <v>土</v>
      </c>
      <c r="E32" s="51"/>
      <c r="F32" s="52" t="s">
        <v>23</v>
      </c>
      <c r="G32" s="53"/>
      <c r="H32" s="53"/>
      <c r="I32" s="53"/>
      <c r="J32" s="53"/>
      <c r="K32" s="54"/>
      <c r="L32" s="55" t="str">
        <f t="shared" si="7"/>
        <v/>
      </c>
      <c r="M32" s="56"/>
      <c r="N32" s="56"/>
      <c r="O32" s="56"/>
      <c r="P32" s="57"/>
      <c r="Q32" s="55">
        <f t="shared" si="8"/>
        <v>0</v>
      </c>
      <c r="R32" s="56"/>
      <c r="S32" s="56"/>
      <c r="T32" s="56"/>
      <c r="U32" s="57"/>
      <c r="V32" s="58"/>
      <c r="W32" s="59"/>
      <c r="X32" s="59"/>
      <c r="Y32" s="59"/>
      <c r="Z32" s="60"/>
    </row>
    <row r="33" ht="21.75" customHeight="1">
      <c r="A33" s="50">
        <f t="shared" si="9"/>
        <v>45956</v>
      </c>
      <c r="B33" s="50"/>
      <c r="C33" s="50"/>
      <c r="D33" s="51" t="str">
        <f t="shared" si="6"/>
        <v>日</v>
      </c>
      <c r="E33" s="51"/>
      <c r="F33" s="52" t="s">
        <v>23</v>
      </c>
      <c r="G33" s="53"/>
      <c r="H33" s="53"/>
      <c r="I33" s="53"/>
      <c r="J33" s="53"/>
      <c r="K33" s="54"/>
      <c r="L33" s="55" t="str">
        <f t="shared" si="7"/>
        <v/>
      </c>
      <c r="M33" s="56"/>
      <c r="N33" s="56"/>
      <c r="O33" s="56"/>
      <c r="P33" s="57"/>
      <c r="Q33" s="55">
        <f t="shared" si="8"/>
        <v>0</v>
      </c>
      <c r="R33" s="56"/>
      <c r="S33" s="56"/>
      <c r="T33" s="56"/>
      <c r="U33" s="57"/>
      <c r="V33" s="58"/>
      <c r="W33" s="59"/>
      <c r="X33" s="59"/>
      <c r="Y33" s="59"/>
      <c r="Z33" s="60"/>
    </row>
    <row r="34" ht="21.75" customHeight="1">
      <c r="A34" s="50">
        <f t="shared" si="9"/>
        <v>45957</v>
      </c>
      <c r="B34" s="50"/>
      <c r="C34" s="50"/>
      <c r="D34" s="51" t="str">
        <f t="shared" si="6"/>
        <v>月</v>
      </c>
      <c r="E34" s="51"/>
      <c r="F34" s="52" t="s">
        <v>23</v>
      </c>
      <c r="G34" s="53"/>
      <c r="H34" s="53"/>
      <c r="I34" s="53"/>
      <c r="J34" s="53"/>
      <c r="K34" s="54"/>
      <c r="L34" s="55" t="str">
        <f t="shared" si="7"/>
        <v/>
      </c>
      <c r="M34" s="56"/>
      <c r="N34" s="56"/>
      <c r="O34" s="56"/>
      <c r="P34" s="57"/>
      <c r="Q34" s="55">
        <f t="shared" si="8"/>
        <v>0</v>
      </c>
      <c r="R34" s="56"/>
      <c r="S34" s="56"/>
      <c r="T34" s="56"/>
      <c r="U34" s="57"/>
      <c r="V34" s="58"/>
      <c r="W34" s="59"/>
      <c r="X34" s="59"/>
      <c r="Y34" s="59"/>
      <c r="Z34" s="60"/>
    </row>
    <row r="35" ht="21.75" customHeight="1">
      <c r="A35" s="50">
        <f t="shared" si="9"/>
        <v>45958</v>
      </c>
      <c r="B35" s="50"/>
      <c r="C35" s="50"/>
      <c r="D35" s="51" t="str">
        <f t="shared" si="6"/>
        <v>火</v>
      </c>
      <c r="E35" s="51"/>
      <c r="F35" s="52" t="s">
        <v>23</v>
      </c>
      <c r="G35" s="53"/>
      <c r="H35" s="53"/>
      <c r="I35" s="53"/>
      <c r="J35" s="53"/>
      <c r="K35" s="54"/>
      <c r="L35" s="55" t="str">
        <f t="shared" si="7"/>
        <v/>
      </c>
      <c r="M35" s="56"/>
      <c r="N35" s="56"/>
      <c r="O35" s="56"/>
      <c r="P35" s="57"/>
      <c r="Q35" s="55">
        <f t="shared" si="8"/>
        <v>0</v>
      </c>
      <c r="R35" s="56"/>
      <c r="S35" s="56"/>
      <c r="T35" s="56"/>
      <c r="U35" s="57"/>
      <c r="V35" s="58"/>
      <c r="W35" s="59"/>
      <c r="X35" s="59"/>
      <c r="Y35" s="59"/>
      <c r="Z35" s="60"/>
      <c r="AC35" s="1" t="s">
        <v>27</v>
      </c>
    </row>
    <row r="36" ht="21.75" customHeight="1">
      <c r="A36" s="50">
        <f>IF(AND(E2=2,AC36=1),"--",A35+1)</f>
        <v>45959</v>
      </c>
      <c r="B36" s="50"/>
      <c r="C36" s="50"/>
      <c r="D36" s="51" t="str">
        <f t="shared" si="6"/>
        <v>水</v>
      </c>
      <c r="E36" s="51"/>
      <c r="F36" s="52"/>
      <c r="G36" s="53"/>
      <c r="H36" s="53"/>
      <c r="I36" s="53"/>
      <c r="J36" s="53"/>
      <c r="K36" s="54"/>
      <c r="L36" s="55" t="str">
        <f t="shared" si="7"/>
        <v/>
      </c>
      <c r="M36" s="56"/>
      <c r="N36" s="56"/>
      <c r="O36" s="56"/>
      <c r="P36" s="57"/>
      <c r="Q36" s="55" t="str">
        <f t="shared" si="8"/>
        <v/>
      </c>
      <c r="R36" s="56"/>
      <c r="S36" s="56"/>
      <c r="T36" s="56"/>
      <c r="U36" s="57"/>
      <c r="V36" s="58" t="s">
        <v>22</v>
      </c>
      <c r="W36" s="59"/>
      <c r="X36" s="59"/>
      <c r="Y36" s="59"/>
      <c r="Z36" s="60"/>
      <c r="AC36" s="1">
        <f>DAY(DATE(A2,2,29))</f>
        <v>1</v>
      </c>
    </row>
    <row r="37" ht="21.75" customHeight="1">
      <c r="A37" s="50">
        <f>IF(E2=2,"--",A36+1)</f>
        <v>45960</v>
      </c>
      <c r="B37" s="50"/>
      <c r="C37" s="50"/>
      <c r="D37" s="51" t="str">
        <f t="shared" si="6"/>
        <v>木</v>
      </c>
      <c r="E37" s="51"/>
      <c r="F37" s="52"/>
      <c r="G37" s="53"/>
      <c r="H37" s="53"/>
      <c r="I37" s="53"/>
      <c r="J37" s="53"/>
      <c r="K37" s="54"/>
      <c r="L37" s="55" t="str">
        <f t="shared" si="7"/>
        <v/>
      </c>
      <c r="M37" s="56"/>
      <c r="N37" s="56"/>
      <c r="O37" s="56"/>
      <c r="P37" s="57"/>
      <c r="Q37" s="55" t="str">
        <f t="shared" si="8"/>
        <v/>
      </c>
      <c r="R37" s="56"/>
      <c r="S37" s="56"/>
      <c r="T37" s="56"/>
      <c r="U37" s="57"/>
      <c r="V37" s="58" t="s">
        <v>22</v>
      </c>
      <c r="W37" s="59"/>
      <c r="X37" s="59"/>
      <c r="Y37" s="59"/>
      <c r="Z37" s="60"/>
    </row>
    <row r="38" ht="21.75" customHeight="1">
      <c r="A38" s="50">
        <f>IF(OR(E2=2,E2=4,E2=6,E2=9,E2=11),"--",A37+1)</f>
        <v>45961</v>
      </c>
      <c r="B38" s="50"/>
      <c r="C38" s="50"/>
      <c r="D38" s="51" t="str">
        <f>IF(A38="","",TEXT(A38,"aaa"))</f>
        <v>金</v>
      </c>
      <c r="E38" s="51"/>
      <c r="F38" s="52" t="s">
        <v>26</v>
      </c>
      <c r="G38" s="53"/>
      <c r="H38" s="53"/>
      <c r="I38" s="53"/>
      <c r="J38" s="53"/>
      <c r="K38" s="54"/>
      <c r="L38" s="55">
        <f t="shared" si="7"/>
        <v>0</v>
      </c>
      <c r="M38" s="56"/>
      <c r="N38" s="56"/>
      <c r="O38" s="56"/>
      <c r="P38" s="57"/>
      <c r="Q38" s="55" t="str">
        <f t="shared" si="8"/>
        <v/>
      </c>
      <c r="R38" s="56"/>
      <c r="S38" s="56"/>
      <c r="T38" s="56"/>
      <c r="U38" s="57"/>
      <c r="V38" s="58"/>
      <c r="W38" s="59"/>
      <c r="X38" s="59"/>
      <c r="Y38" s="59"/>
      <c r="Z38" s="60"/>
    </row>
    <row r="39" ht="21.75" customHeight="1">
      <c r="A39" s="61" t="s">
        <v>28</v>
      </c>
      <c r="B39" s="62"/>
      <c r="C39" s="62"/>
      <c r="D39" s="62"/>
      <c r="E39" s="63"/>
      <c r="F39" s="64" t="s">
        <v>26</v>
      </c>
      <c r="G39" s="65"/>
      <c r="H39" s="65"/>
      <c r="I39" s="65" t="s">
        <v>23</v>
      </c>
      <c r="J39" s="65"/>
      <c r="K39" s="66"/>
      <c r="L39" s="67">
        <f>IF(COUNTIF(L7,"定期"),IF(N7="","ー",N7),SUM(L8:L38))</f>
        <v>0</v>
      </c>
      <c r="M39" s="68"/>
      <c r="N39" s="68"/>
      <c r="O39" s="68"/>
      <c r="P39" s="69"/>
      <c r="Q39" s="67" t="str">
        <f>IF(COUNTIF(Q7,"月額"),S7,SUM(Q8:Q38))&amp;"円(税抜)"</f>
        <v>0円(税抜)</v>
      </c>
      <c r="R39" s="68"/>
      <c r="S39" s="68"/>
      <c r="T39" s="68"/>
      <c r="U39" s="69"/>
      <c r="V39" s="95" t="s">
        <v>46</v>
      </c>
      <c r="W39" s="96"/>
      <c r="X39" s="96"/>
      <c r="Y39" s="96"/>
      <c r="Z39" s="97"/>
    </row>
    <row r="40" ht="21.75" customHeight="1">
      <c r="A40" s="73"/>
      <c r="B40" s="74"/>
      <c r="C40" s="74"/>
      <c r="D40" s="74"/>
      <c r="E40" s="75"/>
      <c r="F40" s="76">
        <f>COUNTIF(F8:K38,"*出勤*")</f>
        <v>6</v>
      </c>
      <c r="G40" s="77"/>
      <c r="H40" s="78"/>
      <c r="I40" s="79">
        <f>COUNTIF(F8:K38,I39)+(0.5*COUNTIF(F8:K38,"テレワーク+*"))+(0.5*COUNTIF(F8:K38,"テレワーク※*"))+0.5*(COUNTIF(F8:K38,"*+テレ"))</f>
        <v>10</v>
      </c>
      <c r="J40" s="80"/>
      <c r="K40" s="81"/>
      <c r="L40" s="82"/>
      <c r="M40" s="83"/>
      <c r="N40" s="83"/>
      <c r="O40" s="83"/>
      <c r="P40" s="84"/>
      <c r="Q40" s="82"/>
      <c r="R40" s="83"/>
      <c r="S40" s="83"/>
      <c r="T40" s="83"/>
      <c r="U40" s="84"/>
      <c r="V40" s="98"/>
      <c r="W40" s="99"/>
      <c r="X40" s="99"/>
      <c r="Y40" s="99"/>
      <c r="Z40" s="100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217">
    <mergeCell ref="A3:F3"/>
    <mergeCell ref="G3:H3"/>
    <mergeCell ref="I3:N3"/>
    <mergeCell ref="D4:Q4"/>
    <mergeCell ref="D5:I5"/>
    <mergeCell ref="L5:Q5"/>
    <mergeCell ref="A1:Z1"/>
    <mergeCell ref="A2:C2"/>
    <mergeCell ref="E2:F2"/>
    <mergeCell ref="L2:N2"/>
    <mergeCell ref="O2:Q2"/>
    <mergeCell ref="S2:V2"/>
    <mergeCell ref="W2:Z2"/>
    <mergeCell ref="A6:C7"/>
    <mergeCell ref="D6:E7"/>
    <mergeCell ref="F6:K7"/>
    <mergeCell ref="L6:P6"/>
    <mergeCell ref="Q6:U6"/>
    <mergeCell ref="V6:Z7"/>
    <mergeCell ref="L7:M7"/>
    <mergeCell ref="N7:P7"/>
    <mergeCell ref="Q7:R7"/>
    <mergeCell ref="S7:U7"/>
    <mergeCell ref="A9:C9"/>
    <mergeCell ref="D9:E9"/>
    <mergeCell ref="F9:K9"/>
    <mergeCell ref="L9:P9"/>
    <mergeCell ref="Q9:U9"/>
    <mergeCell ref="V9:Z9"/>
    <mergeCell ref="A8:C8"/>
    <mergeCell ref="D8:E8"/>
    <mergeCell ref="F8:K8"/>
    <mergeCell ref="L8:P8"/>
    <mergeCell ref="Q8:U8"/>
    <mergeCell ref="V8:Z8"/>
    <mergeCell ref="A11:C11"/>
    <mergeCell ref="D11:E11"/>
    <mergeCell ref="F11:K11"/>
    <mergeCell ref="L11:P11"/>
    <mergeCell ref="Q11:U11"/>
    <mergeCell ref="V11:Z11"/>
    <mergeCell ref="A10:C10"/>
    <mergeCell ref="D10:E10"/>
    <mergeCell ref="F10:K10"/>
    <mergeCell ref="L10:P10"/>
    <mergeCell ref="Q10:U10"/>
    <mergeCell ref="V10:Z10"/>
    <mergeCell ref="A13:C13"/>
    <mergeCell ref="D13:E13"/>
    <mergeCell ref="F13:K13"/>
    <mergeCell ref="L13:P13"/>
    <mergeCell ref="Q13:U13"/>
    <mergeCell ref="V13:Z13"/>
    <mergeCell ref="A12:C12"/>
    <mergeCell ref="D12:E12"/>
    <mergeCell ref="F12:K12"/>
    <mergeCell ref="L12:P12"/>
    <mergeCell ref="Q12:U12"/>
    <mergeCell ref="V12:Z12"/>
    <mergeCell ref="A15:C15"/>
    <mergeCell ref="D15:E15"/>
    <mergeCell ref="F15:K15"/>
    <mergeCell ref="L15:P15"/>
    <mergeCell ref="Q15:U15"/>
    <mergeCell ref="V15:Z15"/>
    <mergeCell ref="A14:C14"/>
    <mergeCell ref="D14:E14"/>
    <mergeCell ref="F14:K14"/>
    <mergeCell ref="L14:P14"/>
    <mergeCell ref="Q14:U14"/>
    <mergeCell ref="V14:Z14"/>
    <mergeCell ref="A17:C17"/>
    <mergeCell ref="D17:E17"/>
    <mergeCell ref="F17:K17"/>
    <mergeCell ref="L17:P17"/>
    <mergeCell ref="Q17:U17"/>
    <mergeCell ref="V17:Z17"/>
    <mergeCell ref="A16:C16"/>
    <mergeCell ref="D16:E16"/>
    <mergeCell ref="F16:K16"/>
    <mergeCell ref="L16:P16"/>
    <mergeCell ref="Q16:U16"/>
    <mergeCell ref="V16:Z16"/>
    <mergeCell ref="A19:C19"/>
    <mergeCell ref="D19:E19"/>
    <mergeCell ref="F19:K19"/>
    <mergeCell ref="L19:P19"/>
    <mergeCell ref="Q19:U19"/>
    <mergeCell ref="V19:Z19"/>
    <mergeCell ref="A18:C18"/>
    <mergeCell ref="D18:E18"/>
    <mergeCell ref="F18:K18"/>
    <mergeCell ref="L18:P18"/>
    <mergeCell ref="Q18:U18"/>
    <mergeCell ref="V18:Z18"/>
    <mergeCell ref="A21:C21"/>
    <mergeCell ref="D21:E21"/>
    <mergeCell ref="F21:K21"/>
    <mergeCell ref="L21:P21"/>
    <mergeCell ref="Q21:U21"/>
    <mergeCell ref="V21:Z21"/>
    <mergeCell ref="A20:C20"/>
    <mergeCell ref="D20:E20"/>
    <mergeCell ref="F20:K20"/>
    <mergeCell ref="L20:P20"/>
    <mergeCell ref="Q20:U20"/>
    <mergeCell ref="V20:Z20"/>
    <mergeCell ref="A23:C23"/>
    <mergeCell ref="D23:E23"/>
    <mergeCell ref="F23:K23"/>
    <mergeCell ref="L23:P23"/>
    <mergeCell ref="Q23:U23"/>
    <mergeCell ref="V23:Z23"/>
    <mergeCell ref="A22:C22"/>
    <mergeCell ref="D22:E22"/>
    <mergeCell ref="F22:K22"/>
    <mergeCell ref="L22:P22"/>
    <mergeCell ref="Q22:U22"/>
    <mergeCell ref="V22:Z22"/>
    <mergeCell ref="A25:C25"/>
    <mergeCell ref="D25:E25"/>
    <mergeCell ref="F25:K25"/>
    <mergeCell ref="L25:P25"/>
    <mergeCell ref="Q25:U25"/>
    <mergeCell ref="V25:Z25"/>
    <mergeCell ref="A24:C24"/>
    <mergeCell ref="D24:E24"/>
    <mergeCell ref="F24:K24"/>
    <mergeCell ref="L24:P24"/>
    <mergeCell ref="Q24:U24"/>
    <mergeCell ref="V24:Z24"/>
    <mergeCell ref="A27:C27"/>
    <mergeCell ref="D27:E27"/>
    <mergeCell ref="F27:K27"/>
    <mergeCell ref="L27:P27"/>
    <mergeCell ref="Q27:U27"/>
    <mergeCell ref="V27:Z27"/>
    <mergeCell ref="A26:C26"/>
    <mergeCell ref="D26:E26"/>
    <mergeCell ref="F26:K26"/>
    <mergeCell ref="L26:P26"/>
    <mergeCell ref="Q26:U26"/>
    <mergeCell ref="V26:Z26"/>
    <mergeCell ref="A29:C29"/>
    <mergeCell ref="D29:E29"/>
    <mergeCell ref="F29:K29"/>
    <mergeCell ref="L29:P29"/>
    <mergeCell ref="Q29:U29"/>
    <mergeCell ref="V29:Z29"/>
    <mergeCell ref="A28:C28"/>
    <mergeCell ref="D28:E28"/>
    <mergeCell ref="F28:K28"/>
    <mergeCell ref="L28:P28"/>
    <mergeCell ref="Q28:U28"/>
    <mergeCell ref="V28:Z28"/>
    <mergeCell ref="A31:C31"/>
    <mergeCell ref="D31:E31"/>
    <mergeCell ref="F31:K31"/>
    <mergeCell ref="L31:P31"/>
    <mergeCell ref="Q31:U31"/>
    <mergeCell ref="V31:Z31"/>
    <mergeCell ref="A30:C30"/>
    <mergeCell ref="D30:E30"/>
    <mergeCell ref="F30:K30"/>
    <mergeCell ref="L30:P30"/>
    <mergeCell ref="Q30:U30"/>
    <mergeCell ref="V30:Z30"/>
    <mergeCell ref="A33:C33"/>
    <mergeCell ref="D33:E33"/>
    <mergeCell ref="F33:K33"/>
    <mergeCell ref="L33:P33"/>
    <mergeCell ref="Q33:U33"/>
    <mergeCell ref="V33:Z33"/>
    <mergeCell ref="A32:C32"/>
    <mergeCell ref="D32:E32"/>
    <mergeCell ref="F32:K32"/>
    <mergeCell ref="L32:P32"/>
    <mergeCell ref="Q32:U32"/>
    <mergeCell ref="V32:Z32"/>
    <mergeCell ref="A35:C35"/>
    <mergeCell ref="D35:E35"/>
    <mergeCell ref="F35:K35"/>
    <mergeCell ref="L35:P35"/>
    <mergeCell ref="Q35:U35"/>
    <mergeCell ref="V35:Z35"/>
    <mergeCell ref="A34:C34"/>
    <mergeCell ref="D34:E34"/>
    <mergeCell ref="F34:K34"/>
    <mergeCell ref="L34:P34"/>
    <mergeCell ref="Q34:U34"/>
    <mergeCell ref="V34:Z34"/>
    <mergeCell ref="A37:C37"/>
    <mergeCell ref="D37:E37"/>
    <mergeCell ref="F37:K37"/>
    <mergeCell ref="L37:P37"/>
    <mergeCell ref="Q37:U37"/>
    <mergeCell ref="V37:Z37"/>
    <mergeCell ref="A36:C36"/>
    <mergeCell ref="D36:E36"/>
    <mergeCell ref="F36:K36"/>
    <mergeCell ref="L36:P36"/>
    <mergeCell ref="Q36:U36"/>
    <mergeCell ref="V36:Z36"/>
    <mergeCell ref="A39:E40"/>
    <mergeCell ref="F39:H39"/>
    <mergeCell ref="I39:K39"/>
    <mergeCell ref="L39:P40"/>
    <mergeCell ref="Q39:U40"/>
    <mergeCell ref="V39:Z40"/>
    <mergeCell ref="F40:H40"/>
    <mergeCell ref="I40:K40"/>
    <mergeCell ref="A38:C38"/>
    <mergeCell ref="D38:E38"/>
    <mergeCell ref="F38:K38"/>
    <mergeCell ref="L38:P38"/>
    <mergeCell ref="Q38:U38"/>
    <mergeCell ref="V38:Z38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77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&amp;A</oddFooter>
  </headerFooter>
  <colBreaks count="1" manualBreakCount="1">
    <brk id="26" man="1" max="1048575"/>
  </colBreaks>
  <extLs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00D90098-0032-40FF-9F60-0098008D00BB}" type="list" allowBlank="1" errorStyle="stop" imeMode="noControl" operator="between" showDropDown="0" showErrorMessage="1" showInputMessage="1">
          <x14:formula1>
            <xm:f>"日額,月額"</xm:f>
          </x14:formula1>
          <xm:sqref>Q7:R7</xm:sqref>
        </x14:dataValidation>
        <x14:dataValidation xr:uid="{008F0039-00DD-48C2-B9BD-008C0099006D}" type="list" allowBlank="1" errorStyle="stop" imeMode="noControl" operator="between" showDropDown="0" showErrorMessage="1" showInputMessage="1">
          <x14:formula1>
            <xm:f>"日額,定期"</xm:f>
          </x14:formula1>
          <xm:sqref>L7:M7</xm:sqref>
        </x14:dataValidation>
        <x14:dataValidation xr:uid="{002F00C3-0061-4A13-80DB-00B6004F00FD}" type="list" allowBlank="1" errorStyle="stop" imeMode="noControl" operator="between" showDropDown="0" showErrorMessage="1" showInputMessage="1">
          <x14:formula1>
            <xm:f>"出勤,テレワーク"</xm:f>
          </x14:formula1>
          <xm:sqref>F8:K9 F29:K30 F36:K37</xm:sqref>
        </x14:dataValidation>
        <x14:dataValidation xr:uid="{002E008E-00CB-466F-9C67-005C00C300E5}" type="list" allowBlank="1" errorStyle="stop" imeMode="noControl" operator="between" showDropDown="0" showErrorMessage="1" showInputMessage="1">
          <x14:formula1>
            <xm:f>"1,2,3,4,5,6,7,8,9,10,11,12"</xm:f>
          </x14:formula1>
          <xm:sqref>E2:F2</xm:sqref>
        </x14:dataValidation>
        <x14:dataValidation xr:uid="{00F800F8-007D-4334-A2C3-008A001A0042}" type="list" allowBlank="1" errorStyle="stop" imeMode="noControl" operator="between" showDropDown="0" showErrorMessage="1" showInputMessage="1">
          <x14:formula1>
            <xm:f>"5,15,20,25,末"</xm:f>
          </x14:formula1>
          <xm:sqref>O2:Q2</xm:sqref>
        </x14:dataValidation>
        <x14:dataValidation xr:uid="{006800E0-00AB-4C26-9D80-008D00110056}" type="list" allowBlank="1" errorStyle="stop" imeMode="noControl" operator="between" showDropDown="0" showErrorMessage="1" showInputMessage="1">
          <x14:formula1>
            <xm:f>"出勤,出勤+半休,テレワーク,テレワーク※所定未満,テレワーク+出勤,テレワーク+半休,出張）通×,出張）通×+テレ,出張）通×+半休"</xm:f>
          </x14:formula1>
          <xm:sqref>F31:K35 F38:K38 F10:K28</xm:sqref>
        </x14:dataValidation>
        <x14:dataValidation xr:uid="{0053002B-00DE-45ED-9DE6-007900760006}" type="list" allowBlank="1" errorStyle="stop" imeMode="noControl" operator="between" showDropDown="0" showErrorMessage="1" showInputMessage="1">
          <x14:formula1>
            <xm:f>$AD$2:$AD$6</xm:f>
          </x14:formula1>
          <xm:sqref>A2:C2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和美</dc:creator>
  <cp:revision>9</cp:revision>
  <dcterms:created xsi:type="dcterms:W3CDTF">2020-04-08T06:46:05Z</dcterms:created>
  <dcterms:modified xsi:type="dcterms:W3CDTF">2026-03-31T08:34:28Z</dcterms:modified>
</cp:coreProperties>
</file>